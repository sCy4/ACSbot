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defaultThemeVersion="124226"/>
  <xr:revisionPtr revIDLastSave="0" documentId="8_{DC93C4E7-1FE0-411C-9AFA-44E1CC0F4345}" xr6:coauthVersionLast="36" xr6:coauthVersionMax="36" xr10:uidLastSave="{00000000-0000-0000-0000-000000000000}"/>
  <bookViews>
    <workbookView xWindow="0" yWindow="0" windowWidth="19200" windowHeight="6840" tabRatio="865" xr2:uid="{00000000-000D-0000-FFFF-FFFF00000000}"/>
  </bookViews>
  <sheets>
    <sheet name="漏斗" sheetId="59" r:id="rId1"/>
    <sheet name="蔡經邦" sheetId="61" r:id="rId2"/>
    <sheet name="牟善賢" sheetId="40" r:id="rId3"/>
    <sheet name="吳萌瑜" sheetId="41" r:id="rId4"/>
    <sheet name="高鄭旺" sheetId="35" r:id="rId5"/>
    <sheet name="張振發" sheetId="38" r:id="rId6"/>
    <sheet name="郭香蘭" sheetId="52" r:id="rId7"/>
    <sheet name="陳育賓" sheetId="36" r:id="rId8"/>
    <sheet name="温正杭" sheetId="48" r:id="rId9"/>
    <sheet name="詹益全" sheetId="7" r:id="rId10"/>
    <sheet name="詹錫熏" sheetId="51" r:id="rId11"/>
    <sheet name="鄒樂勳" sheetId="42" r:id="rId12"/>
    <sheet name="蔡俊傑" sheetId="49" r:id="rId13"/>
    <sheet name="蕭先財" sheetId="37" r:id="rId14"/>
    <sheet name="戴勝堂" sheetId="33" r:id="rId15"/>
    <sheet name="謝文川" sheetId="50" r:id="rId16"/>
    <sheet name="謝明憲" sheetId="39" r:id="rId17"/>
    <sheet name="林彥廷" sheetId="30" r:id="rId18"/>
    <sheet name="林茂競" sheetId="56" r:id="rId19"/>
    <sheet name="梁志強" sheetId="57" r:id="rId20"/>
    <sheet name="趙克強" sheetId="54" r:id="rId21"/>
  </sheets>
  <calcPr calcId="179021"/>
</workbook>
</file>

<file path=xl/calcChain.xml><?xml version="1.0" encoding="utf-8"?>
<calcChain xmlns="http://schemas.openxmlformats.org/spreadsheetml/2006/main">
  <c r="E2" i="59" l="1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16" i="59"/>
  <c r="E17" i="59"/>
  <c r="E18" i="59"/>
  <c r="E19" i="59"/>
  <c r="E20" i="59"/>
  <c r="I22" i="61" l="1"/>
  <c r="H22" i="61"/>
  <c r="G22" i="61"/>
  <c r="D26" i="61" s="1"/>
  <c r="F26" i="61" s="1"/>
  <c r="G26" i="61" s="1"/>
  <c r="F22" i="61"/>
  <c r="D25" i="61" s="1"/>
  <c r="E22" i="61"/>
  <c r="E25" i="61" s="1"/>
  <c r="D22" i="61"/>
  <c r="C22" i="61"/>
  <c r="B22" i="61"/>
  <c r="D24" i="61" s="1"/>
  <c r="F24" i="61" s="1"/>
  <c r="F25" i="61" l="1"/>
  <c r="G24" i="61" s="1"/>
  <c r="G27" i="61" s="1"/>
  <c r="H22" i="40" l="1"/>
  <c r="C22" i="40"/>
  <c r="F22" i="40"/>
  <c r="D25" i="40" s="1"/>
  <c r="B22" i="40"/>
  <c r="D24" i="40" s="1"/>
  <c r="F24" i="40" s="1"/>
  <c r="D22" i="40"/>
  <c r="E22" i="40"/>
  <c r="E25" i="40" s="1"/>
  <c r="G22" i="40"/>
  <c r="D26" i="40" s="1"/>
  <c r="F26" i="40" s="1"/>
  <c r="G26" i="40" s="1"/>
  <c r="I22" i="57"/>
  <c r="H22" i="57"/>
  <c r="G22" i="57"/>
  <c r="D26" i="57" s="1"/>
  <c r="F26" i="57" s="1"/>
  <c r="F22" i="57"/>
  <c r="D25" i="57" s="1"/>
  <c r="D22" i="57"/>
  <c r="C22" i="57"/>
  <c r="B22" i="57"/>
  <c r="D24" i="57" s="1"/>
  <c r="F24" i="57" s="1"/>
  <c r="E22" i="57"/>
  <c r="E25" i="57" s="1"/>
  <c r="I22" i="56"/>
  <c r="H22" i="56"/>
  <c r="G22" i="56"/>
  <c r="D26" i="56" s="1"/>
  <c r="F26" i="56" s="1"/>
  <c r="F22" i="56"/>
  <c r="D25" i="56" s="1"/>
  <c r="D22" i="56"/>
  <c r="C22" i="56"/>
  <c r="B22" i="56"/>
  <c r="D24" i="56" s="1"/>
  <c r="F24" i="56" s="1"/>
  <c r="E21" i="56"/>
  <c r="E20" i="56"/>
  <c r="E22" i="56"/>
  <c r="E25" i="56" s="1"/>
  <c r="I22" i="54"/>
  <c r="H22" i="54"/>
  <c r="G22" i="54"/>
  <c r="D26" i="54" s="1"/>
  <c r="F26" i="54" s="1"/>
  <c r="F22" i="54"/>
  <c r="D25" i="54" s="1"/>
  <c r="D22" i="54"/>
  <c r="C22" i="54"/>
  <c r="B22" i="54"/>
  <c r="D24" i="54" s="1"/>
  <c r="F24" i="54" s="1"/>
  <c r="E21" i="54"/>
  <c r="E20" i="54"/>
  <c r="E22" i="54"/>
  <c r="E25" i="54" s="1"/>
  <c r="I22" i="52"/>
  <c r="H22" i="52"/>
  <c r="G22" i="52"/>
  <c r="D26" i="52" s="1"/>
  <c r="F26" i="52" s="1"/>
  <c r="F22" i="52"/>
  <c r="D25" i="52" s="1"/>
  <c r="D22" i="52"/>
  <c r="C22" i="52"/>
  <c r="B22" i="52"/>
  <c r="D24" i="52" s="1"/>
  <c r="F24" i="52" s="1"/>
  <c r="E21" i="52"/>
  <c r="E20" i="52"/>
  <c r="E22" i="52"/>
  <c r="E25" i="52" s="1"/>
  <c r="I22" i="51"/>
  <c r="H22" i="51"/>
  <c r="G22" i="51"/>
  <c r="D26" i="51" s="1"/>
  <c r="F26" i="51" s="1"/>
  <c r="F22" i="51"/>
  <c r="D25" i="51" s="1"/>
  <c r="D22" i="51"/>
  <c r="C22" i="51"/>
  <c r="B22" i="51"/>
  <c r="D24" i="51" s="1"/>
  <c r="F24" i="51" s="1"/>
  <c r="E21" i="51"/>
  <c r="E20" i="51"/>
  <c r="E22" i="51"/>
  <c r="E25" i="51" s="1"/>
  <c r="I22" i="50"/>
  <c r="H22" i="50"/>
  <c r="G22" i="50"/>
  <c r="D26" i="50" s="1"/>
  <c r="F26" i="50" s="1"/>
  <c r="F22" i="50"/>
  <c r="D25" i="50" s="1"/>
  <c r="D22" i="50"/>
  <c r="C22" i="50"/>
  <c r="B22" i="50"/>
  <c r="D24" i="50" s="1"/>
  <c r="F24" i="50" s="1"/>
  <c r="E21" i="50"/>
  <c r="E20" i="50"/>
  <c r="E22" i="50"/>
  <c r="E25" i="50" s="1"/>
  <c r="I22" i="49"/>
  <c r="H22" i="49"/>
  <c r="G22" i="49"/>
  <c r="D26" i="49" s="1"/>
  <c r="F26" i="49" s="1"/>
  <c r="F22" i="49"/>
  <c r="D25" i="49" s="1"/>
  <c r="D22" i="49"/>
  <c r="C22" i="49"/>
  <c r="B22" i="49"/>
  <c r="D24" i="49" s="1"/>
  <c r="F24" i="49" s="1"/>
  <c r="E21" i="49"/>
  <c r="E20" i="49"/>
  <c r="E22" i="49"/>
  <c r="E25" i="49" s="1"/>
  <c r="I22" i="48"/>
  <c r="H22" i="48"/>
  <c r="G22" i="48"/>
  <c r="D26" i="48" s="1"/>
  <c r="F26" i="48" s="1"/>
  <c r="F22" i="48"/>
  <c r="D25" i="48" s="1"/>
  <c r="D22" i="48"/>
  <c r="C22" i="48"/>
  <c r="B22" i="48"/>
  <c r="D24" i="48" s="1"/>
  <c r="F24" i="48" s="1"/>
  <c r="E21" i="48"/>
  <c r="E20" i="48"/>
  <c r="E22" i="48"/>
  <c r="E25" i="48" s="1"/>
  <c r="I22" i="42"/>
  <c r="H22" i="42"/>
  <c r="G22" i="42"/>
  <c r="D26" i="42" s="1"/>
  <c r="F26" i="42" s="1"/>
  <c r="F22" i="42"/>
  <c r="D25" i="42" s="1"/>
  <c r="D22" i="42"/>
  <c r="C22" i="42"/>
  <c r="B22" i="42"/>
  <c r="D24" i="42" s="1"/>
  <c r="F24" i="42" s="1"/>
  <c r="E21" i="42"/>
  <c r="E20" i="42"/>
  <c r="E22" i="42"/>
  <c r="E25" i="42" s="1"/>
  <c r="I22" i="41"/>
  <c r="H22" i="41"/>
  <c r="G22" i="41"/>
  <c r="D26" i="41" s="1"/>
  <c r="F26" i="41" s="1"/>
  <c r="F22" i="41"/>
  <c r="D25" i="41" s="1"/>
  <c r="D22" i="41"/>
  <c r="C22" i="41"/>
  <c r="B22" i="41"/>
  <c r="D24" i="41" s="1"/>
  <c r="F24" i="41" s="1"/>
  <c r="E22" i="41"/>
  <c r="E25" i="41" s="1"/>
  <c r="I22" i="40"/>
  <c r="I22" i="39"/>
  <c r="H22" i="39"/>
  <c r="G22" i="39"/>
  <c r="D26" i="39" s="1"/>
  <c r="F26" i="39" s="1"/>
  <c r="F22" i="39"/>
  <c r="D25" i="39" s="1"/>
  <c r="D22" i="39"/>
  <c r="C22" i="39"/>
  <c r="B22" i="39"/>
  <c r="D24" i="39" s="1"/>
  <c r="F24" i="39" s="1"/>
  <c r="E21" i="39"/>
  <c r="E20" i="39"/>
  <c r="E22" i="39"/>
  <c r="E25" i="39" s="1"/>
  <c r="I22" i="38"/>
  <c r="H22" i="38"/>
  <c r="G22" i="38"/>
  <c r="D26" i="38" s="1"/>
  <c r="F26" i="38" s="1"/>
  <c r="F22" i="38"/>
  <c r="D25" i="38" s="1"/>
  <c r="D22" i="38"/>
  <c r="C22" i="38"/>
  <c r="B22" i="38"/>
  <c r="D24" i="38" s="1"/>
  <c r="F24" i="38" s="1"/>
  <c r="E21" i="38"/>
  <c r="E20" i="38"/>
  <c r="E22" i="38"/>
  <c r="E25" i="38" s="1"/>
  <c r="I22" i="37"/>
  <c r="H22" i="37"/>
  <c r="G22" i="37"/>
  <c r="D26" i="37" s="1"/>
  <c r="F26" i="37" s="1"/>
  <c r="F22" i="37"/>
  <c r="D25" i="37" s="1"/>
  <c r="D22" i="37"/>
  <c r="C22" i="37"/>
  <c r="B22" i="37"/>
  <c r="D24" i="37" s="1"/>
  <c r="F24" i="37" s="1"/>
  <c r="E21" i="37"/>
  <c r="E20" i="37"/>
  <c r="E22" i="37"/>
  <c r="E25" i="37" s="1"/>
  <c r="I22" i="36"/>
  <c r="H22" i="36"/>
  <c r="G22" i="36"/>
  <c r="D26" i="36" s="1"/>
  <c r="F26" i="36" s="1"/>
  <c r="F22" i="36"/>
  <c r="D25" i="36" s="1"/>
  <c r="D22" i="36"/>
  <c r="C22" i="36"/>
  <c r="B22" i="36"/>
  <c r="D24" i="36" s="1"/>
  <c r="F24" i="36" s="1"/>
  <c r="E21" i="36"/>
  <c r="E20" i="36"/>
  <c r="E22" i="36"/>
  <c r="E25" i="36" s="1"/>
  <c r="I22" i="35"/>
  <c r="H22" i="35"/>
  <c r="G22" i="35"/>
  <c r="D26" i="35" s="1"/>
  <c r="F26" i="35" s="1"/>
  <c r="F22" i="35"/>
  <c r="D25" i="35" s="1"/>
  <c r="D22" i="35"/>
  <c r="C22" i="35"/>
  <c r="B22" i="35"/>
  <c r="D24" i="35" s="1"/>
  <c r="F24" i="35" s="1"/>
  <c r="E22" i="35"/>
  <c r="E25" i="35" s="1"/>
  <c r="I22" i="33"/>
  <c r="H22" i="33"/>
  <c r="G22" i="33"/>
  <c r="D26" i="33" s="1"/>
  <c r="F26" i="33" s="1"/>
  <c r="G26" i="33" s="1"/>
  <c r="F22" i="33"/>
  <c r="D25" i="33" s="1"/>
  <c r="D22" i="33"/>
  <c r="C22" i="33"/>
  <c r="B22" i="33"/>
  <c r="D24" i="33" s="1"/>
  <c r="F24" i="33" s="1"/>
  <c r="E21" i="33"/>
  <c r="E20" i="33"/>
  <c r="E22" i="33"/>
  <c r="E25" i="33" s="1"/>
  <c r="I22" i="30"/>
  <c r="H22" i="30"/>
  <c r="G22" i="30"/>
  <c r="D26" i="30" s="1"/>
  <c r="F26" i="30" s="1"/>
  <c r="F22" i="30"/>
  <c r="D25" i="30" s="1"/>
  <c r="D22" i="30"/>
  <c r="C22" i="30"/>
  <c r="B22" i="30"/>
  <c r="D24" i="30" s="1"/>
  <c r="F24" i="30" s="1"/>
  <c r="E21" i="30"/>
  <c r="E20" i="30"/>
  <c r="E22" i="30"/>
  <c r="E25" i="30" s="1"/>
  <c r="E20" i="7"/>
  <c r="E21" i="7"/>
  <c r="C22" i="7"/>
  <c r="D22" i="7"/>
  <c r="F22" i="7"/>
  <c r="D25" i="7" s="1"/>
  <c r="G22" i="7"/>
  <c r="D26" i="7" s="1"/>
  <c r="F26" i="7" s="1"/>
  <c r="H22" i="7"/>
  <c r="I22" i="7"/>
  <c r="B22" i="7"/>
  <c r="D24" i="7" s="1"/>
  <c r="F24" i="7" s="1"/>
  <c r="E22" i="7"/>
  <c r="E25" i="7" s="1"/>
  <c r="G26" i="57" l="1"/>
  <c r="G26" i="56"/>
  <c r="G26" i="49"/>
  <c r="G26" i="37"/>
  <c r="G26" i="54"/>
  <c r="G26" i="52"/>
  <c r="G26" i="42"/>
  <c r="G26" i="30"/>
  <c r="G26" i="50"/>
  <c r="G26" i="36"/>
  <c r="G26" i="51"/>
  <c r="F25" i="52"/>
  <c r="G24" i="52" s="1"/>
  <c r="F25" i="36"/>
  <c r="G24" i="36" s="1"/>
  <c r="F25" i="56"/>
  <c r="G24" i="56" s="1"/>
  <c r="G27" i="56" s="1"/>
  <c r="F25" i="30"/>
  <c r="G24" i="30" s="1"/>
  <c r="F25" i="40"/>
  <c r="G24" i="40" s="1"/>
  <c r="G27" i="40" s="1"/>
  <c r="F25" i="57"/>
  <c r="G24" i="57" s="1"/>
  <c r="G27" i="57" s="1"/>
  <c r="G26" i="39"/>
  <c r="F25" i="50"/>
  <c r="G24" i="50" s="1"/>
  <c r="F25" i="37"/>
  <c r="G24" i="37" s="1"/>
  <c r="G27" i="37" s="1"/>
  <c r="F25" i="49"/>
  <c r="G24" i="49" s="1"/>
  <c r="G26" i="7"/>
  <c r="F25" i="7"/>
  <c r="G24" i="7" s="1"/>
  <c r="G26" i="48"/>
  <c r="G26" i="38"/>
  <c r="F25" i="35"/>
  <c r="G24" i="35" s="1"/>
  <c r="G26" i="35"/>
  <c r="F25" i="41"/>
  <c r="G24" i="41" s="1"/>
  <c r="G26" i="41"/>
  <c r="F25" i="54"/>
  <c r="G24" i="54" s="1"/>
  <c r="G27" i="54" s="1"/>
  <c r="F25" i="39"/>
  <c r="G24" i="39" s="1"/>
  <c r="F25" i="33"/>
  <c r="G24" i="33" s="1"/>
  <c r="G27" i="33" s="1"/>
  <c r="F25" i="42"/>
  <c r="G24" i="42" s="1"/>
  <c r="F25" i="51"/>
  <c r="G24" i="51" s="1"/>
  <c r="F25" i="48"/>
  <c r="G24" i="48" s="1"/>
  <c r="F25" i="38"/>
  <c r="G24" i="38" s="1"/>
  <c r="G27" i="42" l="1"/>
  <c r="G27" i="49"/>
  <c r="G27" i="50"/>
  <c r="G27" i="52"/>
  <c r="G27" i="36"/>
  <c r="G27" i="7"/>
  <c r="G27" i="30"/>
  <c r="G27" i="51"/>
  <c r="G27" i="48"/>
  <c r="G27" i="39"/>
  <c r="G27" i="38"/>
  <c r="G27" i="35"/>
  <c r="G27" i="41"/>
</calcChain>
</file>

<file path=xl/sharedStrings.xml><?xml version="1.0" encoding="utf-8"?>
<sst xmlns="http://schemas.openxmlformats.org/spreadsheetml/2006/main" count="329" uniqueCount="56">
  <si>
    <t>日期</t>
    <phoneticPr fontId="1" type="noConversion"/>
  </si>
  <si>
    <t>已派</t>
    <phoneticPr fontId="1" type="noConversion"/>
  </si>
  <si>
    <t>未派</t>
    <phoneticPr fontId="1" type="noConversion"/>
  </si>
  <si>
    <t>問題件</t>
    <phoneticPr fontId="1" type="noConversion"/>
  </si>
  <si>
    <t>總統計/票</t>
    <phoneticPr fontId="1" type="noConversion"/>
  </si>
  <si>
    <t>總統計/件</t>
    <phoneticPr fontId="1" type="noConversion"/>
  </si>
  <si>
    <t>收件</t>
    <phoneticPr fontId="1" type="noConversion"/>
  </si>
  <si>
    <t>總統計</t>
    <phoneticPr fontId="1" type="noConversion"/>
  </si>
  <si>
    <t>派+多</t>
    <phoneticPr fontId="1" type="noConversion"/>
  </si>
  <si>
    <t>派件費</t>
    <phoneticPr fontId="1" type="noConversion"/>
  </si>
  <si>
    <t>多件費</t>
    <phoneticPr fontId="1" type="noConversion"/>
  </si>
  <si>
    <t>收件費</t>
    <phoneticPr fontId="1" type="noConversion"/>
  </si>
  <si>
    <t>總額</t>
    <phoneticPr fontId="1" type="noConversion"/>
  </si>
  <si>
    <t>收件多數</t>
    <phoneticPr fontId="1" type="noConversion"/>
  </si>
  <si>
    <t>林彥廷</t>
    <phoneticPr fontId="1" type="noConversion"/>
  </si>
  <si>
    <t>陳育賓</t>
    <phoneticPr fontId="1" type="noConversion"/>
  </si>
  <si>
    <t>蕭先財</t>
    <phoneticPr fontId="1" type="noConversion"/>
  </si>
  <si>
    <t>林茂競</t>
    <phoneticPr fontId="1" type="noConversion"/>
  </si>
  <si>
    <t>張振發</t>
    <phoneticPr fontId="1" type="noConversion"/>
  </si>
  <si>
    <t>梁志強</t>
    <phoneticPr fontId="1" type="noConversion"/>
  </si>
  <si>
    <t>牟善賢</t>
    <phoneticPr fontId="1" type="noConversion"/>
  </si>
  <si>
    <t>吳萌瑜</t>
    <phoneticPr fontId="1" type="noConversion"/>
  </si>
  <si>
    <t>詹益全</t>
    <phoneticPr fontId="1" type="noConversion"/>
  </si>
  <si>
    <t>鄒樂勳</t>
    <phoneticPr fontId="1" type="noConversion"/>
  </si>
  <si>
    <t>趙克強</t>
    <phoneticPr fontId="1" type="noConversion"/>
  </si>
  <si>
    <t>高鄭旺</t>
    <phoneticPr fontId="1" type="noConversion"/>
  </si>
  <si>
    <t>蔡俊傑</t>
    <phoneticPr fontId="1" type="noConversion"/>
  </si>
  <si>
    <t>温正杭</t>
    <phoneticPr fontId="1" type="noConversion"/>
  </si>
  <si>
    <t>戴勝堂</t>
    <phoneticPr fontId="1" type="noConversion"/>
  </si>
  <si>
    <t>謝文川</t>
    <phoneticPr fontId="1" type="noConversion"/>
  </si>
  <si>
    <t>詹錫熏</t>
    <phoneticPr fontId="1" type="noConversion"/>
  </si>
  <si>
    <t>郭香蘭</t>
    <phoneticPr fontId="1" type="noConversion"/>
  </si>
  <si>
    <t>高鄭旺</t>
    <phoneticPr fontId="2" type="noConversion"/>
  </si>
  <si>
    <t>陳育賓</t>
    <phoneticPr fontId="2" type="noConversion"/>
  </si>
  <si>
    <t>蕭先財</t>
    <phoneticPr fontId="2" type="noConversion"/>
  </si>
  <si>
    <t>林茂競</t>
  </si>
  <si>
    <t>張振發</t>
    <phoneticPr fontId="2" type="noConversion"/>
  </si>
  <si>
    <t>梁志強</t>
    <phoneticPr fontId="2" type="noConversion"/>
  </si>
  <si>
    <t>牟善賢</t>
    <phoneticPr fontId="2" type="noConversion"/>
  </si>
  <si>
    <t>吳萌瑜</t>
    <phoneticPr fontId="2" type="noConversion"/>
  </si>
  <si>
    <t>鄒樂勳</t>
    <phoneticPr fontId="2" type="noConversion"/>
  </si>
  <si>
    <t>趙克強</t>
    <phoneticPr fontId="2" type="noConversion"/>
  </si>
  <si>
    <t>温正杭</t>
    <phoneticPr fontId="2" type="noConversion"/>
  </si>
  <si>
    <t>蔡俊傑</t>
    <phoneticPr fontId="2" type="noConversion"/>
  </si>
  <si>
    <t>謝文川</t>
    <phoneticPr fontId="2" type="noConversion"/>
  </si>
  <si>
    <t>詹錫熏</t>
    <phoneticPr fontId="2" type="noConversion"/>
  </si>
  <si>
    <t>郭香蘭</t>
  </si>
  <si>
    <t>謝明憲</t>
    <phoneticPr fontId="1" type="noConversion"/>
  </si>
  <si>
    <t>林彥廷</t>
    <phoneticPr fontId="2" type="noConversion"/>
  </si>
  <si>
    <t>戴勝堂</t>
    <phoneticPr fontId="2" type="noConversion"/>
  </si>
  <si>
    <t>詹益全</t>
    <phoneticPr fontId="2" type="noConversion"/>
  </si>
  <si>
    <r>
      <t xml:space="preserve">  分發資料前 確認表格左上角</t>
    </r>
    <r>
      <rPr>
        <b/>
        <sz val="12"/>
        <color theme="1"/>
        <rFont val="新細明體"/>
        <family val="1"/>
        <charset val="136"/>
        <scheme val="minor"/>
      </rPr>
      <t>日期</t>
    </r>
    <r>
      <rPr>
        <sz val="12"/>
        <color theme="1"/>
        <rFont val="新細明體"/>
        <family val="1"/>
        <charset val="136"/>
        <scheme val="minor"/>
      </rPr>
      <t>是否正確</t>
    </r>
    <phoneticPr fontId="2" type="noConversion"/>
  </si>
  <si>
    <t>蔡經邦</t>
    <phoneticPr fontId="1" type="noConversion"/>
  </si>
  <si>
    <t>謝明憲</t>
    <phoneticPr fontId="2" type="noConversion"/>
  </si>
  <si>
    <t xml:space="preserve"> </t>
    <phoneticPr fontId="2" type="noConversion"/>
  </si>
  <si>
    <r>
      <t xml:space="preserve">  分發資料前 確認表格左上角</t>
    </r>
    <r>
      <rPr>
        <b/>
        <sz val="20"/>
        <color rgb="FFFF0000"/>
        <rFont val="新細明體"/>
        <family val="1"/>
        <charset val="136"/>
        <scheme val="minor"/>
      </rPr>
      <t>日期</t>
    </r>
    <r>
      <rPr>
        <sz val="20"/>
        <color rgb="FFFF0000"/>
        <rFont val="新細明體"/>
        <family val="1"/>
        <charset val="136"/>
        <scheme val="minor"/>
      </rPr>
      <t>是否正確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</si>
</sst>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m&quot;月&quot;d&quot;日&quot;"/>
  </numFmts>
  <fonts count="15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6"/>
      <color theme="1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8"/>
      <name val="新細明體"/>
      <family val="1"/>
      <charset val="136"/>
      <scheme val="minor"/>
    </font>
    <font>
      <sz val="28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20"/>
      <color rgb="FFFF0000"/>
      <name val="新細明體"/>
      <family val="1"/>
      <charset val="136"/>
      <scheme val="minor"/>
    </font>
    <font>
      <b/>
      <sz val="20"/>
      <color rgb="FFFF0000"/>
      <name val="新細明體"/>
      <family val="1"/>
      <charset val="136"/>
      <scheme val="minor"/>
    </font>
    <font>
      <sz val="20"/>
      <color theme="1"/>
      <name val="新細明體"/>
      <family val="1"/>
      <charset val="136"/>
      <scheme val="minor"/>
    </font>
    <font>
      <sz val="15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0" borderId="0" xfId="0" applyBorder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0" borderId="3" xfId="0" applyFont="1" applyFill="1" applyBorder="1">
      <alignment vertical="center"/>
    </xf>
    <xf numFmtId="0" fontId="5" fillId="0" borderId="4" xfId="0" applyFont="1" applyFill="1" applyBorder="1">
      <alignment vertical="center"/>
    </xf>
    <xf numFmtId="0" fontId="5" fillId="0" borderId="0" xfId="0" applyFont="1" applyFill="1">
      <alignment vertical="center"/>
    </xf>
    <xf numFmtId="0" fontId="5" fillId="0" borderId="0" xfId="0" applyFont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7" borderId="0" xfId="0" applyFill="1">
      <alignment vertical="center"/>
    </xf>
    <xf numFmtId="0" fontId="5" fillId="8" borderId="0" xfId="0" applyFont="1" applyFill="1">
      <alignment vertical="center"/>
    </xf>
    <xf numFmtId="0" fontId="5" fillId="7" borderId="0" xfId="0" applyFont="1" applyFill="1">
      <alignment vertical="center"/>
    </xf>
    <xf numFmtId="0" fontId="11" fillId="7" borderId="0" xfId="0" applyFont="1" applyFill="1" applyAlignment="1">
      <alignment horizontal="left" vertical="center"/>
    </xf>
    <xf numFmtId="0" fontId="11" fillId="7" borderId="0" xfId="0" applyFont="1" applyFill="1">
      <alignment vertical="center"/>
    </xf>
    <xf numFmtId="177" fontId="14" fillId="7" borderId="5" xfId="0" applyNumberFormat="1" applyFont="1" applyFill="1" applyBorder="1" applyAlignment="1">
      <alignment horizontal="center" vertical="center"/>
    </xf>
    <xf numFmtId="0" fontId="13" fillId="7" borderId="0" xfId="0" applyFont="1" applyFill="1">
      <alignment vertical="center"/>
    </xf>
    <xf numFmtId="0" fontId="14" fillId="9" borderId="1" xfId="0" applyFont="1" applyFill="1" applyBorder="1" applyAlignment="1">
      <alignment horizontal="center" vertical="center"/>
    </xf>
    <xf numFmtId="0" fontId="14" fillId="9" borderId="7" xfId="0" applyFont="1" applyFill="1" applyBorder="1" applyAlignment="1">
      <alignment horizontal="center" vertical="center"/>
    </xf>
    <xf numFmtId="0" fontId="14" fillId="9" borderId="1" xfId="0" applyFont="1" applyFill="1" applyBorder="1">
      <alignment vertical="center"/>
    </xf>
    <xf numFmtId="0" fontId="14" fillId="9" borderId="7" xfId="0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6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91440</xdr:colOff>
          <xdr:row>0</xdr:row>
          <xdr:rowOff>480060</xdr:rowOff>
        </xdr:from>
        <xdr:to>
          <xdr:col>10</xdr:col>
          <xdr:colOff>281940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分發資料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R20"/>
  <sheetViews>
    <sheetView tabSelected="1" zoomScale="85" zoomScaleNormal="85" workbookViewId="0">
      <selection activeCell="K14" sqref="K14"/>
    </sheetView>
  </sheetViews>
  <sheetFormatPr defaultRowHeight="16.2"/>
  <cols>
    <col min="1" max="1" width="14.109375" style="22" customWidth="1"/>
    <col min="4" max="4" width="12.88671875" customWidth="1"/>
    <col min="5" max="5" width="14.33203125" customWidth="1"/>
    <col min="6" max="6" width="15.44140625" customWidth="1"/>
    <col min="8" max="8" width="14.5546875" customWidth="1"/>
    <col min="9" max="9" width="8.77734375" customWidth="1"/>
  </cols>
  <sheetData>
    <row r="1" spans="1:18" ht="42.6" customHeight="1" thickBot="1">
      <c r="A1" s="32">
        <v>46170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5" t="s">
        <v>13</v>
      </c>
      <c r="I1" s="21"/>
      <c r="J1" s="26" t="s">
        <v>51</v>
      </c>
      <c r="K1" s="27"/>
      <c r="L1" s="27"/>
      <c r="M1" s="27"/>
      <c r="N1" s="27"/>
    </row>
    <row r="2" spans="1:18" ht="19.95" customHeight="1">
      <c r="A2" s="34" t="s">
        <v>32</v>
      </c>
      <c r="B2" s="36"/>
      <c r="C2" s="36"/>
      <c r="D2" s="36"/>
      <c r="E2" s="36">
        <f t="shared" ref="E2:E20" si="0">SUM(B2:D2)</f>
        <v>0</v>
      </c>
      <c r="F2" s="36"/>
      <c r="G2" s="36"/>
      <c r="H2" s="36"/>
      <c r="I2" s="36"/>
      <c r="J2" s="20"/>
      <c r="K2" s="20"/>
      <c r="L2" s="20"/>
      <c r="M2" s="20"/>
      <c r="N2" s="20"/>
    </row>
    <row r="3" spans="1:18" ht="19.95" customHeight="1">
      <c r="A3" s="34" t="s">
        <v>33</v>
      </c>
      <c r="B3" s="36"/>
      <c r="C3" s="36"/>
      <c r="D3" s="36"/>
      <c r="E3" s="36">
        <f>SUM(B3:D3)</f>
        <v>0</v>
      </c>
      <c r="F3" s="36"/>
      <c r="G3" s="36"/>
      <c r="H3" s="36"/>
      <c r="I3" s="36"/>
      <c r="J3" s="20"/>
      <c r="K3" s="20"/>
      <c r="L3" s="20"/>
      <c r="M3" s="20"/>
      <c r="N3" s="20"/>
    </row>
    <row r="4" spans="1:18" ht="19.95" customHeight="1">
      <c r="A4" s="34" t="s">
        <v>34</v>
      </c>
      <c r="B4" s="36"/>
      <c r="C4" s="36"/>
      <c r="D4" s="36"/>
      <c r="E4" s="36">
        <f>SUM(B4:D4)</f>
        <v>0</v>
      </c>
      <c r="F4" s="36"/>
      <c r="G4" s="36"/>
      <c r="H4" s="36"/>
      <c r="I4" s="36"/>
      <c r="J4" s="20"/>
      <c r="K4" s="20"/>
      <c r="L4" s="20"/>
      <c r="M4" s="20"/>
      <c r="N4" s="20"/>
    </row>
    <row r="5" spans="1:18" ht="19.95" customHeight="1">
      <c r="A5" s="34" t="s">
        <v>53</v>
      </c>
      <c r="B5" s="36"/>
      <c r="C5" s="36"/>
      <c r="D5" s="36"/>
      <c r="E5" s="36">
        <f t="shared" ref="E5" si="1">SUM(B5:D5)</f>
        <v>0</v>
      </c>
      <c r="F5" s="36"/>
      <c r="G5" s="36"/>
      <c r="H5" s="36"/>
      <c r="I5" s="36"/>
      <c r="J5" s="20"/>
      <c r="K5" s="20"/>
      <c r="L5" s="20"/>
      <c r="M5" s="20"/>
      <c r="N5" s="20"/>
    </row>
    <row r="6" spans="1:18" ht="19.95" customHeight="1">
      <c r="A6" s="34" t="s">
        <v>36</v>
      </c>
      <c r="B6" s="36"/>
      <c r="C6" s="36"/>
      <c r="D6" s="36"/>
      <c r="E6" s="36">
        <f t="shared" si="0"/>
        <v>0</v>
      </c>
      <c r="F6" s="36"/>
      <c r="G6" s="36"/>
      <c r="H6" s="36"/>
      <c r="I6" s="36"/>
      <c r="J6" s="20"/>
      <c r="K6" s="20"/>
      <c r="L6" s="20"/>
      <c r="M6" s="20"/>
      <c r="N6" s="20"/>
    </row>
    <row r="7" spans="1:18" ht="19.95" customHeight="1">
      <c r="A7" s="34" t="s">
        <v>45</v>
      </c>
      <c r="B7" s="36"/>
      <c r="C7" s="36"/>
      <c r="D7" s="36"/>
      <c r="E7" s="36">
        <f>SUM(B7:D7)</f>
        <v>0</v>
      </c>
      <c r="F7" s="36"/>
      <c r="G7" s="36"/>
      <c r="H7" s="36"/>
      <c r="I7" s="36"/>
      <c r="J7" s="19"/>
      <c r="K7" s="19"/>
    </row>
    <row r="8" spans="1:18" ht="19.95" customHeight="1">
      <c r="A8" s="34" t="s">
        <v>44</v>
      </c>
      <c r="B8" s="36"/>
      <c r="C8" s="36"/>
      <c r="D8" s="36"/>
      <c r="E8" s="36">
        <f>SUM(B8:D8)</f>
        <v>0</v>
      </c>
      <c r="F8" s="36"/>
      <c r="G8" s="36"/>
      <c r="H8" s="36"/>
      <c r="I8" s="36"/>
    </row>
    <row r="9" spans="1:18" ht="19.95" customHeight="1">
      <c r="A9" s="34" t="s">
        <v>46</v>
      </c>
      <c r="B9" s="36"/>
      <c r="C9" s="36"/>
      <c r="D9" s="36"/>
      <c r="E9" s="36">
        <f t="shared" si="0"/>
        <v>0</v>
      </c>
      <c r="F9" s="36"/>
      <c r="G9" s="36"/>
      <c r="H9" s="36"/>
      <c r="I9" s="36"/>
    </row>
    <row r="10" spans="1:18" ht="19.95" customHeight="1">
      <c r="A10" s="34" t="s">
        <v>49</v>
      </c>
      <c r="B10" s="36"/>
      <c r="C10" s="36"/>
      <c r="D10" s="36"/>
      <c r="E10" s="36">
        <f>SUM(B10:D10)</f>
        <v>0</v>
      </c>
      <c r="F10" s="36"/>
      <c r="G10" s="36"/>
      <c r="H10" s="36"/>
      <c r="I10" s="36"/>
    </row>
    <row r="11" spans="1:18" ht="19.95" customHeight="1">
      <c r="A11" s="34" t="s">
        <v>42</v>
      </c>
      <c r="B11" s="36"/>
      <c r="C11" s="36"/>
      <c r="D11" s="36"/>
      <c r="E11" s="36">
        <f t="shared" si="0"/>
        <v>0</v>
      </c>
      <c r="F11" s="36"/>
      <c r="G11" s="36"/>
      <c r="H11" s="36"/>
      <c r="I11" s="36"/>
      <c r="K11" s="30" t="s">
        <v>55</v>
      </c>
      <c r="L11" s="31"/>
      <c r="M11" s="31"/>
      <c r="N11" s="31"/>
      <c r="O11" s="31"/>
      <c r="P11" s="33"/>
      <c r="Q11" s="33"/>
      <c r="R11" s="33"/>
    </row>
    <row r="12" spans="1:18" ht="19.95" customHeight="1">
      <c r="A12" s="34" t="s">
        <v>50</v>
      </c>
      <c r="B12" s="36"/>
      <c r="C12" s="36"/>
      <c r="D12" s="36"/>
      <c r="E12" s="36">
        <f t="shared" si="0"/>
        <v>0</v>
      </c>
      <c r="F12" s="36"/>
      <c r="G12" s="36"/>
      <c r="H12" s="36"/>
      <c r="I12" s="36"/>
    </row>
    <row r="13" spans="1:18" ht="19.95" customHeight="1">
      <c r="A13" s="34" t="s">
        <v>40</v>
      </c>
      <c r="B13" s="36"/>
      <c r="C13" s="36"/>
      <c r="D13" s="36"/>
      <c r="E13" s="36">
        <f t="shared" si="0"/>
        <v>0</v>
      </c>
      <c r="F13" s="36"/>
      <c r="G13" s="36"/>
      <c r="H13" s="36"/>
      <c r="I13" s="36"/>
    </row>
    <row r="14" spans="1:18" ht="19.95" customHeight="1">
      <c r="A14" s="34" t="s">
        <v>43</v>
      </c>
      <c r="B14" s="36"/>
      <c r="C14" s="36"/>
      <c r="D14" s="36"/>
      <c r="E14" s="36">
        <f t="shared" si="0"/>
        <v>0</v>
      </c>
      <c r="F14" s="36"/>
      <c r="G14" s="36"/>
      <c r="H14" s="36"/>
      <c r="I14" s="36"/>
    </row>
    <row r="15" spans="1:18" ht="19.95" customHeight="1">
      <c r="A15" s="34" t="s">
        <v>39</v>
      </c>
      <c r="B15" s="36"/>
      <c r="C15" s="36"/>
      <c r="D15" s="36"/>
      <c r="E15" s="36">
        <f>SUM(B15:D15)</f>
        <v>0</v>
      </c>
      <c r="F15" s="36"/>
      <c r="G15" s="36"/>
      <c r="H15" s="36"/>
      <c r="I15" s="36"/>
    </row>
    <row r="16" spans="1:18" ht="19.95" customHeight="1">
      <c r="A16" s="35" t="s">
        <v>38</v>
      </c>
      <c r="B16" s="36"/>
      <c r="C16" s="36"/>
      <c r="D16" s="38"/>
      <c r="E16" s="36">
        <f>SUM(B16:D16)</f>
        <v>0</v>
      </c>
      <c r="F16" s="38"/>
      <c r="G16" s="36"/>
      <c r="H16" s="36"/>
      <c r="I16" s="36"/>
    </row>
    <row r="17" spans="1:9" ht="19.95" customHeight="1">
      <c r="A17" s="35" t="s">
        <v>48</v>
      </c>
      <c r="B17" s="37"/>
      <c r="C17" s="36"/>
      <c r="D17" s="36"/>
      <c r="E17" s="37">
        <f t="shared" si="0"/>
        <v>0</v>
      </c>
      <c r="F17" s="36"/>
      <c r="G17" s="37"/>
      <c r="H17" s="37"/>
      <c r="I17" s="37"/>
    </row>
    <row r="18" spans="1:9" ht="19.95" customHeight="1">
      <c r="A18" s="34" t="s">
        <v>35</v>
      </c>
      <c r="B18" s="36"/>
      <c r="C18" s="36"/>
      <c r="D18" s="36"/>
      <c r="E18" s="36">
        <f t="shared" si="0"/>
        <v>0</v>
      </c>
      <c r="F18" s="37"/>
      <c r="G18" s="36"/>
      <c r="H18" s="36"/>
      <c r="I18" s="36"/>
    </row>
    <row r="19" spans="1:9" ht="19.95" customHeight="1">
      <c r="A19" s="34" t="s">
        <v>37</v>
      </c>
      <c r="B19" s="36"/>
      <c r="C19" s="36"/>
      <c r="D19" s="36"/>
      <c r="E19" s="36">
        <f>SUM(B19:D19)</f>
        <v>0</v>
      </c>
      <c r="F19" s="36"/>
      <c r="G19" s="36"/>
      <c r="H19" s="36"/>
      <c r="I19" s="36"/>
    </row>
    <row r="20" spans="1:9" ht="19.95" customHeight="1">
      <c r="A20" s="34" t="s">
        <v>41</v>
      </c>
      <c r="B20" s="36"/>
      <c r="C20" s="36"/>
      <c r="D20" s="36"/>
      <c r="E20" s="36">
        <f t="shared" si="0"/>
        <v>0</v>
      </c>
      <c r="F20" s="36"/>
      <c r="G20" s="36"/>
      <c r="H20" s="36"/>
      <c r="I20" s="36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分發並存檔資料">
                <anchor>
                  <from>
                    <xdr:col>9</xdr:col>
                    <xdr:colOff>91440</xdr:colOff>
                    <xdr:row>0</xdr:row>
                    <xdr:rowOff>480060</xdr:rowOff>
                  </from>
                  <to>
                    <xdr:col>10</xdr:col>
                    <xdr:colOff>281940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34A-9BCA-4EF1-AA99-4F4F6D70F25E}">
  <sheetPr codeName="工作表21"/>
  <dimension ref="A1:I28"/>
  <sheetViews>
    <sheetView zoomScale="81" zoomScaleNormal="81" workbookViewId="0">
      <selection activeCell="C14" sqref="C14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43</v>
      </c>
      <c r="C2" s="17">
        <v>0</v>
      </c>
      <c r="D2" s="17">
        <v>9</v>
      </c>
      <c r="E2" s="17">
        <v>52</v>
      </c>
      <c r="F2" s="17">
        <v>43</v>
      </c>
      <c r="G2" s="17">
        <v>0</v>
      </c>
      <c r="H2" s="17"/>
      <c r="I2" s="17"/>
    </row>
    <row r="3" spans="1:9">
      <c r="A3" s="2">
        <v>46147</v>
      </c>
      <c r="B3" s="17">
        <v>35</v>
      </c>
      <c r="C3" s="17">
        <v>0</v>
      </c>
      <c r="D3" s="17">
        <v>3</v>
      </c>
      <c r="E3" s="17">
        <v>38</v>
      </c>
      <c r="F3" s="17">
        <v>35</v>
      </c>
      <c r="G3" s="17">
        <v>0</v>
      </c>
      <c r="H3" s="17"/>
      <c r="I3" s="17"/>
    </row>
    <row r="4" spans="1:9" s="19" customFormat="1">
      <c r="A4" s="2">
        <v>46148</v>
      </c>
      <c r="B4" s="17">
        <v>45</v>
      </c>
      <c r="C4" s="17">
        <v>0</v>
      </c>
      <c r="D4" s="17">
        <v>1</v>
      </c>
      <c r="E4" s="17">
        <v>46</v>
      </c>
      <c r="F4" s="17">
        <v>45</v>
      </c>
      <c r="G4" s="17">
        <v>0</v>
      </c>
      <c r="H4" s="17"/>
      <c r="I4" s="17"/>
    </row>
    <row r="5" spans="1:9" s="19" customFormat="1">
      <c r="A5" s="2">
        <v>46149</v>
      </c>
      <c r="B5" s="17">
        <v>58</v>
      </c>
      <c r="C5" s="17">
        <v>0</v>
      </c>
      <c r="D5" s="17">
        <v>6</v>
      </c>
      <c r="E5" s="17">
        <v>64</v>
      </c>
      <c r="F5" s="17">
        <v>58</v>
      </c>
      <c r="G5" s="17">
        <v>0</v>
      </c>
      <c r="H5" s="17"/>
      <c r="I5" s="17"/>
    </row>
    <row r="6" spans="1:9">
      <c r="A6" s="2">
        <v>46150</v>
      </c>
      <c r="B6" s="17">
        <v>51</v>
      </c>
      <c r="C6" s="17">
        <v>19</v>
      </c>
      <c r="D6" s="17">
        <v>6</v>
      </c>
      <c r="E6" s="17">
        <v>76</v>
      </c>
      <c r="F6" s="17">
        <v>51</v>
      </c>
      <c r="G6" s="17">
        <v>0</v>
      </c>
      <c r="H6" s="17"/>
      <c r="I6" s="17"/>
    </row>
    <row r="7" spans="1:9">
      <c r="A7" s="2">
        <v>46153</v>
      </c>
      <c r="B7" s="17">
        <v>55</v>
      </c>
      <c r="C7" s="17">
        <v>16</v>
      </c>
      <c r="D7" s="17">
        <v>4</v>
      </c>
      <c r="E7" s="17">
        <v>75</v>
      </c>
      <c r="F7" s="17">
        <v>55</v>
      </c>
      <c r="G7" s="17">
        <v>0</v>
      </c>
      <c r="H7" s="17"/>
      <c r="I7" s="17"/>
    </row>
    <row r="8" spans="1:9">
      <c r="A8" s="2">
        <v>46154</v>
      </c>
      <c r="B8" s="17">
        <v>61</v>
      </c>
      <c r="C8" s="17">
        <v>8</v>
      </c>
      <c r="D8" s="17">
        <v>5</v>
      </c>
      <c r="E8" s="17">
        <v>74</v>
      </c>
      <c r="F8" s="17">
        <v>61</v>
      </c>
      <c r="G8" s="17">
        <v>0</v>
      </c>
      <c r="H8" s="17"/>
      <c r="I8" s="17"/>
    </row>
    <row r="9" spans="1:9">
      <c r="A9" s="2">
        <v>46155</v>
      </c>
      <c r="B9" s="17">
        <v>42</v>
      </c>
      <c r="C9" s="17">
        <v>0</v>
      </c>
      <c r="D9" s="17">
        <v>6</v>
      </c>
      <c r="E9" s="17">
        <v>48</v>
      </c>
      <c r="F9" s="17">
        <v>42</v>
      </c>
      <c r="G9" s="17">
        <v>0</v>
      </c>
      <c r="H9" s="17"/>
      <c r="I9" s="17"/>
    </row>
    <row r="10" spans="1:9">
      <c r="A10" s="2">
        <v>46156</v>
      </c>
      <c r="B10" s="28"/>
      <c r="C10" s="28"/>
      <c r="D10" s="28"/>
      <c r="E10" s="28">
        <v>0</v>
      </c>
      <c r="F10" s="28"/>
      <c r="G10" s="28"/>
      <c r="H10" s="28"/>
      <c r="I10" s="17"/>
    </row>
    <row r="11" spans="1:9">
      <c r="A11" s="2">
        <v>46157</v>
      </c>
      <c r="B11" s="28"/>
      <c r="C11" s="28"/>
      <c r="D11" s="28"/>
      <c r="E11" s="28">
        <v>0</v>
      </c>
      <c r="F11" s="28"/>
      <c r="G11" s="28"/>
      <c r="H11" s="28"/>
      <c r="I11" s="17"/>
    </row>
    <row r="12" spans="1:9">
      <c r="A12" s="2">
        <v>46160</v>
      </c>
      <c r="B12" s="28"/>
      <c r="C12" s="28"/>
      <c r="D12" s="28"/>
      <c r="E12" s="28"/>
      <c r="F12" s="28"/>
      <c r="G12" s="28"/>
      <c r="H12" s="28"/>
      <c r="I12" s="17"/>
    </row>
    <row r="13" spans="1:9">
      <c r="A13" s="2">
        <v>46161</v>
      </c>
      <c r="B13" s="28"/>
      <c r="C13" s="28"/>
      <c r="D13" s="28"/>
      <c r="E13" s="28"/>
      <c r="F13" s="28"/>
      <c r="G13" s="28"/>
      <c r="H13" s="28"/>
      <c r="I13" s="17"/>
    </row>
    <row r="14" spans="1:9">
      <c r="A14" s="2">
        <v>46162</v>
      </c>
      <c r="B14" s="28"/>
      <c r="C14" s="28"/>
      <c r="D14" s="28"/>
      <c r="E14" s="28"/>
      <c r="F14" s="28"/>
      <c r="G14" s="28"/>
      <c r="H14" s="28"/>
      <c r="I14" s="17"/>
    </row>
    <row r="15" spans="1:9">
      <c r="A15" s="2">
        <v>46163</v>
      </c>
      <c r="B15" s="28"/>
      <c r="C15" s="28"/>
      <c r="D15" s="28"/>
      <c r="E15" s="28"/>
      <c r="F15" s="28"/>
      <c r="G15" s="28"/>
      <c r="H15" s="28"/>
      <c r="I15" s="17"/>
    </row>
    <row r="16" spans="1:9">
      <c r="A16" s="2">
        <v>46164</v>
      </c>
      <c r="B16" s="28"/>
      <c r="C16" s="28"/>
      <c r="D16" s="28"/>
      <c r="E16" s="28"/>
      <c r="F16" s="28"/>
      <c r="G16" s="28"/>
      <c r="H16" s="28"/>
      <c r="I16" s="17"/>
    </row>
    <row r="17" spans="1:9">
      <c r="A17" s="2">
        <v>46167</v>
      </c>
      <c r="B17" s="28"/>
      <c r="C17" s="28"/>
      <c r="D17" s="28"/>
      <c r="E17" s="28"/>
      <c r="F17" s="28"/>
      <c r="G17" s="28"/>
      <c r="H17" s="28"/>
      <c r="I17" s="17"/>
    </row>
    <row r="18" spans="1:9">
      <c r="A18" s="2">
        <v>46168</v>
      </c>
      <c r="B18" s="28"/>
      <c r="C18" s="28"/>
      <c r="D18" s="28"/>
      <c r="E18" s="28"/>
      <c r="F18" s="28"/>
      <c r="G18" s="28"/>
      <c r="H18" s="28"/>
      <c r="I18" s="17"/>
    </row>
    <row r="19" spans="1:9">
      <c r="A19" s="2">
        <v>46169</v>
      </c>
      <c r="B19" s="28"/>
      <c r="C19" s="28"/>
      <c r="D19" s="28"/>
      <c r="E19" s="28"/>
      <c r="F19" s="28"/>
      <c r="G19" s="28"/>
      <c r="H19" s="28"/>
      <c r="I19" s="17"/>
    </row>
    <row r="20" spans="1:9">
      <c r="A20" s="2">
        <v>46170</v>
      </c>
      <c r="B20" s="28"/>
      <c r="C20" s="28"/>
      <c r="D20" s="28"/>
      <c r="E20" s="28"/>
      <c r="F20" s="28"/>
      <c r="G20" s="28"/>
      <c r="H20" s="28"/>
      <c r="I20" s="17"/>
    </row>
    <row r="21" spans="1:9">
      <c r="A21" s="2">
        <v>46171</v>
      </c>
      <c r="B21" s="28"/>
      <c r="C21" s="28"/>
      <c r="D21" s="28"/>
      <c r="E21" s="28"/>
      <c r="F21" s="28"/>
      <c r="G21" s="28"/>
      <c r="H21" s="28"/>
      <c r="I21" s="17"/>
    </row>
    <row r="22" spans="1:9">
      <c r="A22" s="11" t="s">
        <v>7</v>
      </c>
      <c r="B22" s="12">
        <f t="shared" ref="B22:I22" si="0">SUM(B2:B21)</f>
        <v>390</v>
      </c>
      <c r="C22" s="12">
        <f t="shared" si="0"/>
        <v>43</v>
      </c>
      <c r="D22" s="12">
        <f t="shared" si="0"/>
        <v>40</v>
      </c>
      <c r="E22" s="12">
        <f t="shared" si="0"/>
        <v>473</v>
      </c>
      <c r="F22" s="12">
        <f t="shared" si="0"/>
        <v>390</v>
      </c>
      <c r="G22" s="12">
        <f t="shared" si="0"/>
        <v>0</v>
      </c>
      <c r="H22" s="12">
        <f t="shared" si="0"/>
        <v>0</v>
      </c>
      <c r="I22" s="12">
        <f t="shared" si="0"/>
        <v>0</v>
      </c>
    </row>
    <row r="23" spans="1:9">
      <c r="A23" s="39" t="s">
        <v>52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390</v>
      </c>
      <c r="E24" s="7">
        <v>10</v>
      </c>
      <c r="F24" s="7">
        <f>SUM(D24*E24)</f>
        <v>3900</v>
      </c>
      <c r="G24" s="40">
        <f>SUM(F24+F25)</f>
        <v>3817</v>
      </c>
      <c r="H24" s="8"/>
    </row>
    <row r="25" spans="1:9">
      <c r="A25" s="39"/>
      <c r="B25" s="39"/>
      <c r="C25" s="7" t="s">
        <v>10</v>
      </c>
      <c r="D25" s="7">
        <f>F22</f>
        <v>390</v>
      </c>
      <c r="E25" s="7">
        <f>E22</f>
        <v>473</v>
      </c>
      <c r="F25" s="7">
        <f>SUM(D25-E25)</f>
        <v>-83</v>
      </c>
      <c r="G25" s="40"/>
      <c r="H25" s="8"/>
    </row>
    <row r="26" spans="1:9">
      <c r="A26" s="39"/>
      <c r="B26" s="39"/>
      <c r="C26" s="7" t="s">
        <v>11</v>
      </c>
      <c r="D26" s="7">
        <f>G22</f>
        <v>0</v>
      </c>
      <c r="E26" s="7">
        <v>15</v>
      </c>
      <c r="F26" s="7">
        <f>SUM(D26*E26)</f>
        <v>0</v>
      </c>
      <c r="G26" s="13">
        <f>SUM(F26+H22)</f>
        <v>0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3817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I28"/>
  <sheetViews>
    <sheetView zoomScale="82" zoomScaleNormal="82" workbookViewId="0">
      <selection activeCell="K15" sqref="K15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124</v>
      </c>
      <c r="C2" s="17">
        <v>0</v>
      </c>
      <c r="D2" s="17">
        <v>3</v>
      </c>
      <c r="E2" s="17">
        <v>127</v>
      </c>
      <c r="F2" s="17">
        <v>124</v>
      </c>
      <c r="G2" s="17">
        <v>0</v>
      </c>
      <c r="H2" s="17"/>
      <c r="I2" s="17"/>
    </row>
    <row r="3" spans="1:9">
      <c r="A3" s="2">
        <v>46147</v>
      </c>
      <c r="B3" s="17">
        <v>94</v>
      </c>
      <c r="C3" s="17">
        <v>0</v>
      </c>
      <c r="D3" s="17">
        <v>1</v>
      </c>
      <c r="E3" s="17">
        <v>95</v>
      </c>
      <c r="F3" s="17">
        <v>94</v>
      </c>
      <c r="G3" s="17">
        <v>0</v>
      </c>
      <c r="H3" s="17"/>
      <c r="I3" s="17"/>
    </row>
    <row r="4" spans="1:9" s="19" customFormat="1">
      <c r="A4" s="2">
        <v>46148</v>
      </c>
      <c r="B4" s="17">
        <v>125</v>
      </c>
      <c r="C4" s="17">
        <v>0</v>
      </c>
      <c r="D4" s="17">
        <v>1</v>
      </c>
      <c r="E4" s="17">
        <v>126</v>
      </c>
      <c r="F4" s="17">
        <v>125</v>
      </c>
      <c r="G4" s="17">
        <v>0</v>
      </c>
      <c r="H4" s="17"/>
      <c r="I4" s="17"/>
    </row>
    <row r="5" spans="1:9" s="19" customFormat="1">
      <c r="A5" s="2">
        <v>46149</v>
      </c>
      <c r="B5" s="17">
        <v>92</v>
      </c>
      <c r="C5" s="17">
        <v>0</v>
      </c>
      <c r="D5" s="17">
        <v>2</v>
      </c>
      <c r="E5" s="17">
        <v>94</v>
      </c>
      <c r="F5" s="17">
        <v>92</v>
      </c>
      <c r="G5" s="17">
        <v>0</v>
      </c>
      <c r="H5" s="17"/>
      <c r="I5" s="17"/>
    </row>
    <row r="6" spans="1:9">
      <c r="A6" s="2">
        <v>46150</v>
      </c>
      <c r="B6" s="17">
        <v>86</v>
      </c>
      <c r="C6" s="17">
        <v>0</v>
      </c>
      <c r="D6" s="17">
        <v>3</v>
      </c>
      <c r="E6" s="17">
        <v>89</v>
      </c>
      <c r="F6" s="17">
        <v>86</v>
      </c>
      <c r="G6" s="17">
        <v>0</v>
      </c>
      <c r="H6" s="17"/>
      <c r="I6" s="17"/>
    </row>
    <row r="7" spans="1:9">
      <c r="A7" s="2">
        <v>46153</v>
      </c>
      <c r="B7" s="17">
        <v>124</v>
      </c>
      <c r="C7" s="17">
        <v>0</v>
      </c>
      <c r="D7" s="17">
        <v>2</v>
      </c>
      <c r="E7" s="17">
        <v>126</v>
      </c>
      <c r="F7" s="17">
        <v>124</v>
      </c>
      <c r="G7" s="17">
        <v>0</v>
      </c>
      <c r="H7" s="17"/>
      <c r="I7" s="17"/>
    </row>
    <row r="8" spans="1:9">
      <c r="A8" s="2">
        <v>46154</v>
      </c>
      <c r="B8" s="17">
        <v>62</v>
      </c>
      <c r="C8" s="17">
        <v>0</v>
      </c>
      <c r="D8" s="17">
        <v>2</v>
      </c>
      <c r="E8" s="17">
        <v>64</v>
      </c>
      <c r="F8" s="17">
        <v>62</v>
      </c>
      <c r="G8" s="17">
        <v>0</v>
      </c>
      <c r="H8" s="17"/>
      <c r="I8" s="17"/>
    </row>
    <row r="9" spans="1:9">
      <c r="A9" s="2">
        <v>46155</v>
      </c>
      <c r="B9" s="17">
        <v>69</v>
      </c>
      <c r="C9" s="17">
        <v>0</v>
      </c>
      <c r="D9" s="17">
        <v>2</v>
      </c>
      <c r="E9" s="17">
        <v>71</v>
      </c>
      <c r="F9" s="17">
        <v>69</v>
      </c>
      <c r="G9" s="17">
        <v>0</v>
      </c>
      <c r="H9" s="17"/>
      <c r="I9" s="17"/>
    </row>
    <row r="10" spans="1:9">
      <c r="A10" s="2">
        <v>46156</v>
      </c>
      <c r="B10" s="17">
        <v>76</v>
      </c>
      <c r="C10" s="17">
        <v>0</v>
      </c>
      <c r="D10" s="17">
        <v>2</v>
      </c>
      <c r="E10" s="17">
        <v>78</v>
      </c>
      <c r="F10" s="17">
        <v>76</v>
      </c>
      <c r="G10" s="17">
        <v>0</v>
      </c>
      <c r="H10" s="17"/>
      <c r="I10" s="17"/>
    </row>
    <row r="11" spans="1:9">
      <c r="A11" s="2">
        <v>46157</v>
      </c>
      <c r="B11" s="17">
        <v>101</v>
      </c>
      <c r="C11" s="17">
        <v>0</v>
      </c>
      <c r="D11" s="17">
        <v>3</v>
      </c>
      <c r="E11" s="17">
        <v>104</v>
      </c>
      <c r="F11" s="17">
        <v>101</v>
      </c>
      <c r="G11" s="17">
        <v>0</v>
      </c>
      <c r="H11" s="17"/>
      <c r="I11" s="17"/>
    </row>
    <row r="12" spans="1:9">
      <c r="A12" s="2">
        <v>46160</v>
      </c>
      <c r="B12" s="17">
        <v>140</v>
      </c>
      <c r="C12" s="17">
        <v>0</v>
      </c>
      <c r="D12" s="17">
        <v>1</v>
      </c>
      <c r="E12" s="17">
        <v>141</v>
      </c>
      <c r="F12" s="17">
        <v>140</v>
      </c>
      <c r="G12" s="17">
        <v>0</v>
      </c>
      <c r="H12" s="17"/>
      <c r="I12" s="17"/>
    </row>
    <row r="13" spans="1:9">
      <c r="A13" s="2">
        <v>46161</v>
      </c>
      <c r="B13" s="17">
        <v>113</v>
      </c>
      <c r="C13" s="17">
        <v>0</v>
      </c>
      <c r="D13" s="17">
        <v>1</v>
      </c>
      <c r="E13" s="17">
        <v>114</v>
      </c>
      <c r="F13" s="17">
        <v>113</v>
      </c>
      <c r="G13" s="17">
        <v>0</v>
      </c>
      <c r="H13" s="17"/>
      <c r="I13" s="17"/>
    </row>
    <row r="14" spans="1:9">
      <c r="A14" s="2">
        <v>46162</v>
      </c>
      <c r="B14" s="17">
        <v>94</v>
      </c>
      <c r="C14" s="17">
        <v>0</v>
      </c>
      <c r="D14" s="17">
        <v>4</v>
      </c>
      <c r="E14" s="17">
        <v>98</v>
      </c>
      <c r="F14" s="17">
        <v>94</v>
      </c>
      <c r="G14" s="17">
        <v>0</v>
      </c>
      <c r="H14" s="17"/>
      <c r="I14" s="17"/>
    </row>
    <row r="15" spans="1:9">
      <c r="A15" s="2">
        <v>46163</v>
      </c>
      <c r="B15" s="17">
        <v>103</v>
      </c>
      <c r="C15" s="17">
        <v>0</v>
      </c>
      <c r="D15" s="17">
        <v>2</v>
      </c>
      <c r="E15" s="17">
        <v>105</v>
      </c>
      <c r="F15" s="17">
        <v>103</v>
      </c>
      <c r="G15" s="17">
        <v>0</v>
      </c>
      <c r="H15" s="17"/>
      <c r="I15" s="17"/>
    </row>
    <row r="16" spans="1:9">
      <c r="A16" s="2">
        <v>46164</v>
      </c>
      <c r="B16" s="17">
        <v>121</v>
      </c>
      <c r="C16" s="17">
        <v>0</v>
      </c>
      <c r="D16" s="17">
        <v>1</v>
      </c>
      <c r="E16" s="17">
        <v>122</v>
      </c>
      <c r="F16" s="17">
        <v>121</v>
      </c>
      <c r="G16" s="17">
        <v>0</v>
      </c>
      <c r="H16" s="17"/>
      <c r="I16" s="17"/>
    </row>
    <row r="17" spans="1:9">
      <c r="A17" s="2">
        <v>46167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17"/>
    </row>
    <row r="18" spans="1:9">
      <c r="A18" s="2">
        <v>46168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/>
      <c r="I18" s="17"/>
    </row>
    <row r="19" spans="1:9">
      <c r="A19" s="2">
        <v>46169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17"/>
    </row>
    <row r="20" spans="1:9">
      <c r="A20" s="2">
        <v>46170</v>
      </c>
      <c r="B20" s="17"/>
      <c r="C20" s="17"/>
      <c r="D20" s="17"/>
      <c r="E20" s="17"/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/>
      <c r="F21" s="17"/>
      <c r="G21" s="17"/>
      <c r="H21" s="17"/>
      <c r="I21" s="17"/>
    </row>
    <row r="22" spans="1:9">
      <c r="A22" s="11" t="s">
        <v>7</v>
      </c>
      <c r="B22" s="12">
        <f t="shared" ref="B22:I22" si="0">SUM(B2:B21)</f>
        <v>1524</v>
      </c>
      <c r="C22" s="12">
        <f t="shared" si="0"/>
        <v>0</v>
      </c>
      <c r="D22" s="12">
        <f t="shared" si="0"/>
        <v>30</v>
      </c>
      <c r="E22" s="12">
        <f t="shared" si="0"/>
        <v>1554</v>
      </c>
      <c r="F22" s="12">
        <f t="shared" si="0"/>
        <v>1524</v>
      </c>
      <c r="G22" s="12">
        <f t="shared" si="0"/>
        <v>0</v>
      </c>
      <c r="H22" s="12">
        <f t="shared" si="0"/>
        <v>0</v>
      </c>
      <c r="I22" s="12">
        <f t="shared" si="0"/>
        <v>0</v>
      </c>
    </row>
    <row r="23" spans="1:9">
      <c r="A23" s="39" t="s">
        <v>20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1524</v>
      </c>
      <c r="E24" s="7">
        <v>10</v>
      </c>
      <c r="F24" s="7">
        <f>SUM(D24*E24)</f>
        <v>15240</v>
      </c>
      <c r="G24" s="40">
        <f>SUM(F24+F25)</f>
        <v>15210</v>
      </c>
      <c r="H24" s="8"/>
    </row>
    <row r="25" spans="1:9">
      <c r="A25" s="39"/>
      <c r="B25" s="39"/>
      <c r="C25" s="7" t="s">
        <v>10</v>
      </c>
      <c r="D25" s="7">
        <f>F22</f>
        <v>1524</v>
      </c>
      <c r="E25" s="7">
        <f>E22</f>
        <v>1554</v>
      </c>
      <c r="F25" s="7">
        <f>SUM(D25-E25)</f>
        <v>-30</v>
      </c>
      <c r="G25" s="40"/>
      <c r="H25" s="8"/>
    </row>
    <row r="26" spans="1:9">
      <c r="A26" s="39"/>
      <c r="B26" s="39"/>
      <c r="C26" s="7" t="s">
        <v>11</v>
      </c>
      <c r="D26" s="7">
        <f>G22</f>
        <v>0</v>
      </c>
      <c r="E26" s="7">
        <v>15</v>
      </c>
      <c r="F26" s="7">
        <f>SUM(D26*E26)</f>
        <v>0</v>
      </c>
      <c r="G26" s="13">
        <f>SUM(F26+H22)</f>
        <v>0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15210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I28"/>
  <sheetViews>
    <sheetView zoomScale="79" zoomScaleNormal="79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84</v>
      </c>
      <c r="C2" s="17">
        <v>5</v>
      </c>
      <c r="D2" s="17">
        <v>1</v>
      </c>
      <c r="E2" s="17">
        <v>90</v>
      </c>
      <c r="F2" s="17">
        <v>116</v>
      </c>
      <c r="G2" s="17">
        <v>2</v>
      </c>
      <c r="H2" s="17">
        <v>8</v>
      </c>
      <c r="I2" s="17"/>
    </row>
    <row r="3" spans="1:9">
      <c r="A3" s="2">
        <v>46147</v>
      </c>
      <c r="B3" s="17">
        <v>101</v>
      </c>
      <c r="C3" s="17">
        <v>0</v>
      </c>
      <c r="D3" s="17">
        <v>1</v>
      </c>
      <c r="E3" s="17">
        <v>102</v>
      </c>
      <c r="F3" s="17">
        <v>132</v>
      </c>
      <c r="G3" s="17">
        <v>6</v>
      </c>
      <c r="H3" s="17">
        <v>20</v>
      </c>
      <c r="I3" s="17"/>
    </row>
    <row r="4" spans="1:9" s="19" customFormat="1">
      <c r="A4" s="2">
        <v>46148</v>
      </c>
      <c r="B4" s="29"/>
      <c r="C4" s="29"/>
      <c r="D4" s="29"/>
      <c r="E4" s="29">
        <v>0</v>
      </c>
      <c r="F4" s="29"/>
      <c r="G4" s="29"/>
      <c r="H4" s="29"/>
      <c r="I4" s="17"/>
    </row>
    <row r="5" spans="1:9" s="19" customFormat="1">
      <c r="A5" s="2">
        <v>46149</v>
      </c>
      <c r="B5" s="17">
        <v>42</v>
      </c>
      <c r="C5" s="17">
        <v>0</v>
      </c>
      <c r="D5" s="17">
        <v>1</v>
      </c>
      <c r="E5" s="17">
        <v>43</v>
      </c>
      <c r="F5" s="17">
        <v>110</v>
      </c>
      <c r="G5" s="17">
        <v>3</v>
      </c>
      <c r="H5" s="17"/>
      <c r="I5" s="17"/>
    </row>
    <row r="6" spans="1:9">
      <c r="A6" s="2">
        <v>46150</v>
      </c>
      <c r="B6" s="17">
        <v>66</v>
      </c>
      <c r="C6" s="17">
        <v>0</v>
      </c>
      <c r="D6" s="17">
        <v>0</v>
      </c>
      <c r="E6" s="17">
        <v>66</v>
      </c>
      <c r="F6" s="17">
        <v>97</v>
      </c>
      <c r="G6" s="17">
        <v>3</v>
      </c>
      <c r="H6" s="17"/>
      <c r="I6" s="17"/>
    </row>
    <row r="7" spans="1:9">
      <c r="A7" s="2">
        <v>46153</v>
      </c>
      <c r="B7" s="17">
        <v>108</v>
      </c>
      <c r="C7" s="17">
        <v>0</v>
      </c>
      <c r="D7" s="17">
        <v>0</v>
      </c>
      <c r="E7" s="17">
        <v>108</v>
      </c>
      <c r="F7" s="17">
        <v>126</v>
      </c>
      <c r="G7" s="17">
        <v>4</v>
      </c>
      <c r="H7" s="17"/>
      <c r="I7" s="17"/>
    </row>
    <row r="8" spans="1:9">
      <c r="A8" s="2">
        <v>46154</v>
      </c>
      <c r="B8" s="17">
        <v>87</v>
      </c>
      <c r="C8" s="17">
        <v>0</v>
      </c>
      <c r="D8" s="17">
        <v>1</v>
      </c>
      <c r="E8" s="17">
        <v>88</v>
      </c>
      <c r="F8" s="17">
        <v>137</v>
      </c>
      <c r="G8" s="17">
        <v>5</v>
      </c>
      <c r="H8" s="17">
        <v>20</v>
      </c>
      <c r="I8" s="17"/>
    </row>
    <row r="9" spans="1:9">
      <c r="A9" s="2">
        <v>46155</v>
      </c>
      <c r="B9" s="17">
        <v>60</v>
      </c>
      <c r="C9" s="17">
        <v>0</v>
      </c>
      <c r="D9" s="17">
        <v>0</v>
      </c>
      <c r="E9" s="17">
        <v>60</v>
      </c>
      <c r="F9" s="17">
        <v>76</v>
      </c>
      <c r="G9" s="17">
        <v>4</v>
      </c>
      <c r="H9" s="17"/>
      <c r="I9" s="17"/>
    </row>
    <row r="10" spans="1:9">
      <c r="A10" s="2">
        <v>46156</v>
      </c>
      <c r="B10" s="17">
        <v>49</v>
      </c>
      <c r="C10" s="17">
        <v>0</v>
      </c>
      <c r="D10" s="17">
        <v>1</v>
      </c>
      <c r="E10" s="17">
        <v>50</v>
      </c>
      <c r="F10" s="17">
        <v>64</v>
      </c>
      <c r="G10" s="17">
        <v>4</v>
      </c>
      <c r="H10" s="17">
        <v>10</v>
      </c>
      <c r="I10" s="17"/>
    </row>
    <row r="11" spans="1:9">
      <c r="A11" s="2">
        <v>46157</v>
      </c>
      <c r="B11" s="17">
        <v>84</v>
      </c>
      <c r="C11" s="17">
        <v>0</v>
      </c>
      <c r="D11" s="17">
        <v>0</v>
      </c>
      <c r="E11" s="17">
        <v>84</v>
      </c>
      <c r="F11" s="17">
        <v>113</v>
      </c>
      <c r="G11" s="17">
        <v>3</v>
      </c>
      <c r="H11" s="17">
        <v>9</v>
      </c>
      <c r="I11" s="17"/>
    </row>
    <row r="12" spans="1:9">
      <c r="A12" s="2">
        <v>46160</v>
      </c>
      <c r="B12" s="17">
        <v>110</v>
      </c>
      <c r="C12" s="17">
        <v>8</v>
      </c>
      <c r="D12" s="17">
        <v>0</v>
      </c>
      <c r="E12" s="17">
        <v>118</v>
      </c>
      <c r="F12" s="17">
        <v>164</v>
      </c>
      <c r="G12" s="17">
        <v>3</v>
      </c>
      <c r="H12" s="17"/>
      <c r="I12" s="17"/>
    </row>
    <row r="13" spans="1:9">
      <c r="A13" s="2">
        <v>46161</v>
      </c>
      <c r="B13" s="17">
        <v>88</v>
      </c>
      <c r="C13" s="17">
        <v>0</v>
      </c>
      <c r="D13" s="17">
        <v>1</v>
      </c>
      <c r="E13" s="17">
        <v>89</v>
      </c>
      <c r="F13" s="17">
        <v>113</v>
      </c>
      <c r="G13" s="17">
        <v>2</v>
      </c>
      <c r="H13" s="17"/>
      <c r="I13" s="17"/>
    </row>
    <row r="14" spans="1:9">
      <c r="A14" s="2">
        <v>46162</v>
      </c>
      <c r="B14" s="17">
        <v>86</v>
      </c>
      <c r="C14" s="17">
        <v>0</v>
      </c>
      <c r="D14" s="17">
        <v>1</v>
      </c>
      <c r="E14" s="17">
        <v>87</v>
      </c>
      <c r="F14" s="17">
        <v>86</v>
      </c>
      <c r="G14" s="17">
        <v>4</v>
      </c>
      <c r="H14" s="17">
        <v>8</v>
      </c>
      <c r="I14" s="17"/>
    </row>
    <row r="15" spans="1:9">
      <c r="A15" s="2">
        <v>46163</v>
      </c>
      <c r="B15" s="17">
        <v>79</v>
      </c>
      <c r="C15" s="17">
        <v>0</v>
      </c>
      <c r="D15" s="17">
        <v>1</v>
      </c>
      <c r="E15" s="17">
        <v>80</v>
      </c>
      <c r="F15" s="17">
        <v>91</v>
      </c>
      <c r="G15" s="17">
        <v>2</v>
      </c>
      <c r="H15" s="17"/>
      <c r="I15" s="17"/>
    </row>
    <row r="16" spans="1:9">
      <c r="A16" s="2">
        <v>46164</v>
      </c>
      <c r="B16" s="17">
        <v>85</v>
      </c>
      <c r="C16" s="17">
        <v>0</v>
      </c>
      <c r="D16" s="17">
        <v>1</v>
      </c>
      <c r="E16" s="17">
        <v>86</v>
      </c>
      <c r="F16" s="17">
        <v>111</v>
      </c>
      <c r="G16" s="17">
        <v>3</v>
      </c>
      <c r="H16" s="17"/>
      <c r="I16" s="17"/>
    </row>
    <row r="17" spans="1:9">
      <c r="A17" s="2">
        <v>46167</v>
      </c>
      <c r="B17" s="17">
        <v>100</v>
      </c>
      <c r="C17" s="17">
        <v>0</v>
      </c>
      <c r="D17" s="17">
        <v>0</v>
      </c>
      <c r="E17" s="17">
        <v>100</v>
      </c>
      <c r="F17" s="17">
        <v>146</v>
      </c>
      <c r="G17" s="17">
        <v>2</v>
      </c>
      <c r="H17" s="17">
        <v>8</v>
      </c>
      <c r="I17" s="17"/>
    </row>
    <row r="18" spans="1:9">
      <c r="A18" s="2">
        <v>46168</v>
      </c>
      <c r="B18" s="17">
        <v>77</v>
      </c>
      <c r="C18" s="17">
        <v>0</v>
      </c>
      <c r="D18" s="17">
        <v>0</v>
      </c>
      <c r="E18" s="17">
        <v>77</v>
      </c>
      <c r="F18" s="17">
        <v>122</v>
      </c>
      <c r="G18" s="17">
        <v>4</v>
      </c>
      <c r="H18" s="17">
        <v>11</v>
      </c>
      <c r="I18" s="17"/>
    </row>
    <row r="19" spans="1:9">
      <c r="A19" s="2">
        <v>46169</v>
      </c>
      <c r="B19" s="17">
        <v>85</v>
      </c>
      <c r="C19" s="17">
        <v>0</v>
      </c>
      <c r="D19" s="17">
        <v>0</v>
      </c>
      <c r="E19" s="17">
        <v>85</v>
      </c>
      <c r="F19" s="17">
        <v>107</v>
      </c>
      <c r="G19" s="17">
        <v>4</v>
      </c>
      <c r="H19" s="17">
        <v>9</v>
      </c>
      <c r="I19" s="17"/>
    </row>
    <row r="20" spans="1:9">
      <c r="A20" s="2">
        <v>46170</v>
      </c>
      <c r="B20" s="17"/>
      <c r="C20" s="17"/>
      <c r="D20" s="17"/>
      <c r="E20" s="17"/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/>
      <c r="F21" s="17"/>
      <c r="G21" s="17"/>
      <c r="H21" s="17"/>
      <c r="I21" s="17"/>
    </row>
    <row r="22" spans="1:9">
      <c r="A22" s="11" t="s">
        <v>7</v>
      </c>
      <c r="B22" s="12">
        <f t="shared" ref="B22:I22" si="0">SUM(B2:B21)</f>
        <v>1391</v>
      </c>
      <c r="C22" s="12">
        <f t="shared" si="0"/>
        <v>13</v>
      </c>
      <c r="D22" s="12">
        <f t="shared" si="0"/>
        <v>9</v>
      </c>
      <c r="E22" s="12">
        <f t="shared" si="0"/>
        <v>1413</v>
      </c>
      <c r="F22" s="12">
        <f t="shared" si="0"/>
        <v>1911</v>
      </c>
      <c r="G22" s="12">
        <f t="shared" si="0"/>
        <v>58</v>
      </c>
      <c r="H22" s="12">
        <f t="shared" si="0"/>
        <v>103</v>
      </c>
      <c r="I22" s="12">
        <f t="shared" si="0"/>
        <v>0</v>
      </c>
    </row>
    <row r="23" spans="1:9">
      <c r="A23" s="39" t="s">
        <v>21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1391</v>
      </c>
      <c r="E24" s="7">
        <v>10</v>
      </c>
      <c r="F24" s="7">
        <f>SUM(D24*E24)</f>
        <v>13910</v>
      </c>
      <c r="G24" s="40">
        <f>SUM(F24+F25)</f>
        <v>14408</v>
      </c>
      <c r="H24" s="8"/>
    </row>
    <row r="25" spans="1:9">
      <c r="A25" s="39"/>
      <c r="B25" s="39"/>
      <c r="C25" s="7" t="s">
        <v>10</v>
      </c>
      <c r="D25" s="7">
        <f>F22</f>
        <v>1911</v>
      </c>
      <c r="E25" s="7">
        <f>E22</f>
        <v>1413</v>
      </c>
      <c r="F25" s="7">
        <f>SUM(D25-E25)</f>
        <v>498</v>
      </c>
      <c r="G25" s="40"/>
      <c r="H25" s="8"/>
    </row>
    <row r="26" spans="1:9">
      <c r="A26" s="39"/>
      <c r="B26" s="39"/>
      <c r="C26" s="7" t="s">
        <v>11</v>
      </c>
      <c r="D26" s="7">
        <f>G22</f>
        <v>58</v>
      </c>
      <c r="E26" s="7">
        <v>15</v>
      </c>
      <c r="F26" s="7">
        <f>SUM(D26*E26)</f>
        <v>870</v>
      </c>
      <c r="G26" s="13">
        <f>SUM(F26+H22)</f>
        <v>973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15381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I28"/>
  <sheetViews>
    <sheetView zoomScale="78" zoomScaleNormal="78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69</v>
      </c>
      <c r="C2" s="17">
        <v>14</v>
      </c>
      <c r="D2" s="17">
        <v>0</v>
      </c>
      <c r="E2" s="17">
        <v>83</v>
      </c>
      <c r="F2" s="17">
        <v>120</v>
      </c>
      <c r="G2" s="17">
        <v>2</v>
      </c>
      <c r="H2" s="17"/>
      <c r="I2" s="17"/>
    </row>
    <row r="3" spans="1:9">
      <c r="A3" s="2">
        <v>46147</v>
      </c>
      <c r="B3" s="17">
        <v>71</v>
      </c>
      <c r="C3" s="17">
        <v>0</v>
      </c>
      <c r="D3" s="17">
        <v>1</v>
      </c>
      <c r="E3" s="17">
        <v>72</v>
      </c>
      <c r="F3" s="17">
        <v>165</v>
      </c>
      <c r="G3" s="17">
        <v>3</v>
      </c>
      <c r="H3" s="17">
        <v>4</v>
      </c>
      <c r="I3" s="17"/>
    </row>
    <row r="4" spans="1:9" s="19" customFormat="1">
      <c r="A4" s="2">
        <v>46148</v>
      </c>
      <c r="B4" s="17">
        <v>54</v>
      </c>
      <c r="C4" s="17">
        <v>1</v>
      </c>
      <c r="D4" s="17">
        <v>0</v>
      </c>
      <c r="E4" s="17">
        <v>55</v>
      </c>
      <c r="F4" s="17">
        <v>115</v>
      </c>
      <c r="G4" s="17">
        <v>2</v>
      </c>
      <c r="H4" s="17"/>
      <c r="I4" s="17"/>
    </row>
    <row r="5" spans="1:9" s="19" customFormat="1">
      <c r="A5" s="2">
        <v>46149</v>
      </c>
      <c r="B5" s="17">
        <v>55</v>
      </c>
      <c r="C5" s="17">
        <v>0</v>
      </c>
      <c r="D5" s="17">
        <v>0</v>
      </c>
      <c r="E5" s="17">
        <v>55</v>
      </c>
      <c r="F5" s="17">
        <v>98</v>
      </c>
      <c r="G5" s="17">
        <v>4</v>
      </c>
      <c r="H5" s="17"/>
      <c r="I5" s="17"/>
    </row>
    <row r="6" spans="1:9">
      <c r="A6" s="2">
        <v>46150</v>
      </c>
      <c r="B6" s="17">
        <v>67</v>
      </c>
      <c r="C6" s="17">
        <v>0</v>
      </c>
      <c r="D6" s="17">
        <v>2</v>
      </c>
      <c r="E6" s="17">
        <v>69</v>
      </c>
      <c r="F6" s="17">
        <v>88</v>
      </c>
      <c r="G6" s="17">
        <v>3</v>
      </c>
      <c r="H6" s="17"/>
      <c r="I6" s="17"/>
    </row>
    <row r="7" spans="1:9">
      <c r="A7" s="2">
        <v>46153</v>
      </c>
      <c r="B7" s="17">
        <v>67</v>
      </c>
      <c r="C7" s="17">
        <v>2</v>
      </c>
      <c r="D7" s="17">
        <v>2</v>
      </c>
      <c r="E7" s="17">
        <v>71</v>
      </c>
      <c r="F7" s="17">
        <v>111</v>
      </c>
      <c r="G7" s="17">
        <v>2</v>
      </c>
      <c r="H7" s="17"/>
      <c r="I7" s="17"/>
    </row>
    <row r="8" spans="1:9">
      <c r="A8" s="2">
        <v>46154</v>
      </c>
      <c r="B8" s="17">
        <v>64</v>
      </c>
      <c r="C8" s="17">
        <v>13</v>
      </c>
      <c r="D8" s="17">
        <v>1</v>
      </c>
      <c r="E8" s="17">
        <v>78</v>
      </c>
      <c r="F8" s="17">
        <v>113</v>
      </c>
      <c r="G8" s="17">
        <v>2</v>
      </c>
      <c r="H8" s="17">
        <v>4</v>
      </c>
      <c r="I8" s="17"/>
    </row>
    <row r="9" spans="1:9">
      <c r="A9" s="2">
        <v>46155</v>
      </c>
      <c r="B9" s="17">
        <v>45</v>
      </c>
      <c r="C9" s="17">
        <v>0</v>
      </c>
      <c r="D9" s="17">
        <v>1</v>
      </c>
      <c r="E9" s="17">
        <v>46</v>
      </c>
      <c r="F9" s="17">
        <v>56</v>
      </c>
      <c r="G9" s="17">
        <v>1</v>
      </c>
      <c r="H9" s="17"/>
      <c r="I9" s="17"/>
    </row>
    <row r="10" spans="1:9">
      <c r="A10" s="2">
        <v>46156</v>
      </c>
      <c r="B10" s="17">
        <v>51</v>
      </c>
      <c r="C10" s="17">
        <v>0</v>
      </c>
      <c r="D10" s="17">
        <v>4</v>
      </c>
      <c r="E10" s="17">
        <v>55</v>
      </c>
      <c r="F10" s="17">
        <v>71</v>
      </c>
      <c r="G10" s="17">
        <v>1</v>
      </c>
      <c r="H10" s="17"/>
      <c r="I10" s="17"/>
    </row>
    <row r="11" spans="1:9">
      <c r="A11" s="2">
        <v>46157</v>
      </c>
      <c r="B11" s="17">
        <v>77</v>
      </c>
      <c r="C11" s="17">
        <v>0</v>
      </c>
      <c r="D11" s="17">
        <v>0</v>
      </c>
      <c r="E11" s="17">
        <v>77</v>
      </c>
      <c r="F11" s="17">
        <v>119</v>
      </c>
      <c r="G11" s="17">
        <v>6</v>
      </c>
      <c r="H11" s="17">
        <v>12</v>
      </c>
      <c r="I11" s="17"/>
    </row>
    <row r="12" spans="1:9">
      <c r="A12" s="2">
        <v>46160</v>
      </c>
      <c r="B12" s="17">
        <v>76</v>
      </c>
      <c r="C12" s="17">
        <v>1</v>
      </c>
      <c r="D12" s="17">
        <v>1</v>
      </c>
      <c r="E12" s="17">
        <v>78</v>
      </c>
      <c r="F12" s="17">
        <v>130</v>
      </c>
      <c r="G12" s="17">
        <v>3</v>
      </c>
      <c r="H12" s="17">
        <v>4</v>
      </c>
      <c r="I12" s="17"/>
    </row>
    <row r="13" spans="1:9">
      <c r="A13" s="2">
        <v>46161</v>
      </c>
      <c r="B13" s="17">
        <v>79</v>
      </c>
      <c r="C13" s="17">
        <v>0</v>
      </c>
      <c r="D13" s="17">
        <v>0</v>
      </c>
      <c r="E13" s="17">
        <v>79</v>
      </c>
      <c r="F13" s="17">
        <v>164</v>
      </c>
      <c r="G13" s="17">
        <v>1</v>
      </c>
      <c r="H13" s="17">
        <v>2</v>
      </c>
      <c r="I13" s="17"/>
    </row>
    <row r="14" spans="1:9">
      <c r="A14" s="2">
        <v>46162</v>
      </c>
      <c r="B14" s="17">
        <v>51</v>
      </c>
      <c r="C14" s="17">
        <v>0</v>
      </c>
      <c r="D14" s="17">
        <v>2</v>
      </c>
      <c r="E14" s="17">
        <v>53</v>
      </c>
      <c r="F14" s="17">
        <v>68</v>
      </c>
      <c r="G14" s="17">
        <v>3</v>
      </c>
      <c r="H14" s="17">
        <v>8</v>
      </c>
      <c r="I14" s="17"/>
    </row>
    <row r="15" spans="1:9">
      <c r="A15" s="2">
        <v>46163</v>
      </c>
      <c r="B15" s="17">
        <v>61</v>
      </c>
      <c r="C15" s="17">
        <v>0</v>
      </c>
      <c r="D15" s="17">
        <v>1</v>
      </c>
      <c r="E15" s="17">
        <v>62</v>
      </c>
      <c r="F15" s="17">
        <v>91</v>
      </c>
      <c r="G15" s="17">
        <v>1</v>
      </c>
      <c r="H15" s="17"/>
      <c r="I15" s="17"/>
    </row>
    <row r="16" spans="1:9">
      <c r="A16" s="2">
        <v>46164</v>
      </c>
      <c r="B16" s="17">
        <v>52</v>
      </c>
      <c r="C16" s="17">
        <v>0</v>
      </c>
      <c r="D16" s="17">
        <v>8</v>
      </c>
      <c r="E16" s="17">
        <v>60</v>
      </c>
      <c r="F16" s="17">
        <v>88</v>
      </c>
      <c r="G16" s="17">
        <v>0</v>
      </c>
      <c r="H16" s="17"/>
      <c r="I16" s="17"/>
    </row>
    <row r="17" spans="1:9">
      <c r="A17" s="2">
        <v>46167</v>
      </c>
      <c r="B17" s="17">
        <v>66</v>
      </c>
      <c r="C17" s="17">
        <v>8</v>
      </c>
      <c r="D17" s="17">
        <v>1</v>
      </c>
      <c r="E17" s="17">
        <v>75</v>
      </c>
      <c r="F17" s="17">
        <v>190</v>
      </c>
      <c r="G17" s="17">
        <v>2</v>
      </c>
      <c r="H17" s="17">
        <v>14</v>
      </c>
      <c r="I17" s="17"/>
    </row>
    <row r="18" spans="1:9">
      <c r="A18" s="2">
        <v>46168</v>
      </c>
      <c r="B18" s="17">
        <v>90</v>
      </c>
      <c r="C18" s="17">
        <v>4</v>
      </c>
      <c r="D18" s="17">
        <v>3</v>
      </c>
      <c r="E18" s="17">
        <v>97</v>
      </c>
      <c r="F18" s="17">
        <v>127</v>
      </c>
      <c r="G18" s="17">
        <v>2</v>
      </c>
      <c r="H18" s="17">
        <v>3</v>
      </c>
      <c r="I18" s="17"/>
    </row>
    <row r="19" spans="1:9">
      <c r="A19" s="2">
        <v>46169</v>
      </c>
      <c r="B19" s="17">
        <v>86</v>
      </c>
      <c r="C19" s="17">
        <v>0</v>
      </c>
      <c r="D19" s="17">
        <v>1</v>
      </c>
      <c r="E19" s="17">
        <v>87</v>
      </c>
      <c r="F19" s="17">
        <v>156</v>
      </c>
      <c r="G19" s="17">
        <v>1</v>
      </c>
      <c r="H19" s="17">
        <v>1</v>
      </c>
      <c r="I19" s="17"/>
    </row>
    <row r="20" spans="1:9">
      <c r="A20" s="2">
        <v>46170</v>
      </c>
      <c r="B20" s="17"/>
      <c r="C20" s="17"/>
      <c r="D20" s="17"/>
      <c r="E20" s="17"/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/>
      <c r="F21" s="17"/>
      <c r="G21" s="17"/>
      <c r="H21" s="17"/>
      <c r="I21" s="17"/>
    </row>
    <row r="22" spans="1:9">
      <c r="A22" s="11" t="s">
        <v>7</v>
      </c>
      <c r="B22" s="12">
        <f t="shared" ref="B22:I22" si="0">SUM(B2:B21)</f>
        <v>1181</v>
      </c>
      <c r="C22" s="12">
        <f t="shared" si="0"/>
        <v>43</v>
      </c>
      <c r="D22" s="12">
        <f t="shared" si="0"/>
        <v>28</v>
      </c>
      <c r="E22" s="12">
        <f t="shared" si="0"/>
        <v>1252</v>
      </c>
      <c r="F22" s="12">
        <f t="shared" si="0"/>
        <v>2070</v>
      </c>
      <c r="G22" s="12">
        <f t="shared" si="0"/>
        <v>39</v>
      </c>
      <c r="H22" s="12">
        <f t="shared" si="0"/>
        <v>52</v>
      </c>
      <c r="I22" s="12">
        <f t="shared" si="0"/>
        <v>0</v>
      </c>
    </row>
    <row r="23" spans="1:9">
      <c r="A23" s="39" t="s">
        <v>25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1181</v>
      </c>
      <c r="E24" s="7">
        <v>10</v>
      </c>
      <c r="F24" s="7">
        <f>SUM(D24*E24)</f>
        <v>11810</v>
      </c>
      <c r="G24" s="40">
        <f>SUM(F24+F25)</f>
        <v>12628</v>
      </c>
      <c r="H24" s="8"/>
    </row>
    <row r="25" spans="1:9">
      <c r="A25" s="39"/>
      <c r="B25" s="39"/>
      <c r="C25" s="7" t="s">
        <v>10</v>
      </c>
      <c r="D25" s="7">
        <f>F22</f>
        <v>2070</v>
      </c>
      <c r="E25" s="7">
        <f>E22</f>
        <v>1252</v>
      </c>
      <c r="F25" s="7">
        <f>SUM(D25-E25)</f>
        <v>818</v>
      </c>
      <c r="G25" s="40"/>
      <c r="H25" s="8"/>
    </row>
    <row r="26" spans="1:9">
      <c r="A26" s="39"/>
      <c r="B26" s="39"/>
      <c r="C26" s="7" t="s">
        <v>11</v>
      </c>
      <c r="D26" s="7">
        <f>G22</f>
        <v>39</v>
      </c>
      <c r="E26" s="7">
        <v>15</v>
      </c>
      <c r="F26" s="7">
        <f>SUM(D26*E26)</f>
        <v>585</v>
      </c>
      <c r="G26" s="13">
        <f>SUM(F26+H22)</f>
        <v>637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13265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I28"/>
  <sheetViews>
    <sheetView zoomScale="78" zoomScaleNormal="78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105</v>
      </c>
      <c r="C2" s="17">
        <v>0</v>
      </c>
      <c r="D2" s="17">
        <v>4</v>
      </c>
      <c r="E2" s="17">
        <v>109</v>
      </c>
      <c r="F2" s="17">
        <v>140</v>
      </c>
      <c r="G2" s="17">
        <v>1</v>
      </c>
      <c r="H2" s="17"/>
      <c r="I2" s="17"/>
    </row>
    <row r="3" spans="1:9">
      <c r="A3" s="2">
        <v>46147</v>
      </c>
      <c r="B3" s="17">
        <v>26</v>
      </c>
      <c r="C3" s="17">
        <v>0</v>
      </c>
      <c r="D3" s="17"/>
      <c r="E3" s="17">
        <v>26</v>
      </c>
      <c r="F3" s="17">
        <v>61</v>
      </c>
      <c r="G3" s="17">
        <v>0</v>
      </c>
      <c r="H3" s="17"/>
      <c r="I3" s="17"/>
    </row>
    <row r="4" spans="1:9" s="19" customFormat="1">
      <c r="A4" s="2">
        <v>46148</v>
      </c>
      <c r="B4" s="17"/>
      <c r="C4" s="17"/>
      <c r="D4" s="17"/>
      <c r="E4" s="17">
        <v>0</v>
      </c>
      <c r="F4" s="17"/>
      <c r="G4" s="17"/>
      <c r="H4" s="17"/>
      <c r="I4" s="17"/>
    </row>
    <row r="5" spans="1:9" s="19" customFormat="1">
      <c r="A5" s="2">
        <v>46149</v>
      </c>
      <c r="B5" s="17">
        <v>88</v>
      </c>
      <c r="C5" s="17">
        <v>0</v>
      </c>
      <c r="D5" s="17">
        <v>1</v>
      </c>
      <c r="E5" s="17">
        <v>89</v>
      </c>
      <c r="F5" s="17">
        <v>116</v>
      </c>
      <c r="G5" s="17">
        <v>5</v>
      </c>
      <c r="H5" s="17"/>
      <c r="I5" s="17"/>
    </row>
    <row r="6" spans="1:9">
      <c r="A6" s="2">
        <v>46150</v>
      </c>
      <c r="B6" s="17">
        <v>92</v>
      </c>
      <c r="C6" s="17">
        <v>0</v>
      </c>
      <c r="D6" s="17">
        <v>1</v>
      </c>
      <c r="E6" s="17">
        <v>93</v>
      </c>
      <c r="F6" s="17">
        <v>178</v>
      </c>
      <c r="G6" s="17">
        <v>2</v>
      </c>
      <c r="H6" s="17"/>
      <c r="I6" s="17"/>
    </row>
    <row r="7" spans="1:9">
      <c r="A7" s="2">
        <v>46153</v>
      </c>
      <c r="B7" s="17">
        <v>98</v>
      </c>
      <c r="C7" s="17">
        <v>0</v>
      </c>
      <c r="D7" s="17">
        <v>1</v>
      </c>
      <c r="E7" s="17">
        <v>99</v>
      </c>
      <c r="F7" s="17">
        <v>185</v>
      </c>
      <c r="G7" s="17">
        <v>4</v>
      </c>
      <c r="H7" s="17"/>
      <c r="I7" s="17"/>
    </row>
    <row r="8" spans="1:9">
      <c r="A8" s="2">
        <v>46154</v>
      </c>
      <c r="B8" s="29"/>
      <c r="C8" s="29"/>
      <c r="D8" s="29"/>
      <c r="E8" s="29">
        <v>0</v>
      </c>
      <c r="F8" s="29"/>
      <c r="G8" s="29"/>
      <c r="H8" s="29"/>
      <c r="I8" s="17"/>
    </row>
    <row r="9" spans="1:9">
      <c r="A9" s="2">
        <v>46155</v>
      </c>
      <c r="B9" s="17">
        <v>76</v>
      </c>
      <c r="C9" s="17">
        <v>0</v>
      </c>
      <c r="D9" s="17">
        <v>0</v>
      </c>
      <c r="E9" s="17">
        <v>76</v>
      </c>
      <c r="F9" s="17">
        <v>97</v>
      </c>
      <c r="G9" s="17">
        <v>3</v>
      </c>
      <c r="H9" s="17">
        <v>4</v>
      </c>
      <c r="I9" s="17"/>
    </row>
    <row r="10" spans="1:9">
      <c r="A10" s="2">
        <v>46156</v>
      </c>
      <c r="B10" s="17">
        <v>78</v>
      </c>
      <c r="C10" s="17">
        <v>0</v>
      </c>
      <c r="D10" s="17">
        <v>0</v>
      </c>
      <c r="E10" s="17">
        <v>78</v>
      </c>
      <c r="F10" s="17">
        <v>94</v>
      </c>
      <c r="G10" s="17">
        <v>3</v>
      </c>
      <c r="H10" s="17"/>
      <c r="I10" s="17"/>
    </row>
    <row r="11" spans="1:9">
      <c r="A11" s="2">
        <v>46157</v>
      </c>
      <c r="B11" s="17">
        <v>103</v>
      </c>
      <c r="C11" s="17">
        <v>0</v>
      </c>
      <c r="D11" s="17">
        <v>0</v>
      </c>
      <c r="E11" s="17">
        <v>103</v>
      </c>
      <c r="F11" s="17">
        <v>198</v>
      </c>
      <c r="G11" s="17">
        <v>0</v>
      </c>
      <c r="H11" s="17"/>
      <c r="I11" s="17"/>
    </row>
    <row r="12" spans="1:9">
      <c r="A12" s="2">
        <v>46160</v>
      </c>
      <c r="B12" s="17">
        <v>122</v>
      </c>
      <c r="C12" s="17">
        <v>0</v>
      </c>
      <c r="D12" s="17">
        <v>0</v>
      </c>
      <c r="E12" s="17">
        <v>122</v>
      </c>
      <c r="F12" s="17">
        <v>241</v>
      </c>
      <c r="G12" s="17">
        <v>0</v>
      </c>
      <c r="H12" s="17"/>
      <c r="I12" s="17"/>
    </row>
    <row r="13" spans="1:9">
      <c r="A13" s="2">
        <v>46161</v>
      </c>
      <c r="B13" s="29"/>
      <c r="C13" s="29"/>
      <c r="D13" s="29"/>
      <c r="E13" s="29">
        <v>0</v>
      </c>
      <c r="F13" s="29"/>
      <c r="G13" s="29"/>
      <c r="H13" s="29"/>
      <c r="I13" s="17"/>
    </row>
    <row r="14" spans="1:9">
      <c r="A14" s="2">
        <v>46162</v>
      </c>
      <c r="B14" s="17">
        <v>97</v>
      </c>
      <c r="C14" s="17">
        <v>0</v>
      </c>
      <c r="D14" s="17">
        <v>0</v>
      </c>
      <c r="E14" s="17">
        <v>97</v>
      </c>
      <c r="F14" s="17">
        <v>126</v>
      </c>
      <c r="G14" s="17">
        <v>1</v>
      </c>
      <c r="H14" s="17"/>
      <c r="I14" s="17"/>
    </row>
    <row r="15" spans="1:9">
      <c r="A15" s="2">
        <v>46163</v>
      </c>
      <c r="B15" s="17">
        <v>123</v>
      </c>
      <c r="C15" s="17">
        <v>0</v>
      </c>
      <c r="D15" s="17">
        <v>0</v>
      </c>
      <c r="E15" s="17">
        <v>123</v>
      </c>
      <c r="F15" s="17">
        <v>146</v>
      </c>
      <c r="G15" s="17">
        <v>2</v>
      </c>
      <c r="H15" s="17"/>
      <c r="I15" s="17"/>
    </row>
    <row r="16" spans="1:9">
      <c r="A16" s="2">
        <v>46164</v>
      </c>
      <c r="B16" s="29"/>
      <c r="C16" s="29"/>
      <c r="D16" s="29"/>
      <c r="E16" s="29">
        <v>0</v>
      </c>
      <c r="F16" s="29"/>
      <c r="G16" s="29"/>
      <c r="H16" s="29"/>
      <c r="I16" s="17"/>
    </row>
    <row r="17" spans="1:9">
      <c r="A17" s="2">
        <v>46167</v>
      </c>
      <c r="B17" s="17">
        <v>155</v>
      </c>
      <c r="C17" s="17">
        <v>0</v>
      </c>
      <c r="D17" s="17">
        <v>10</v>
      </c>
      <c r="E17" s="17">
        <v>165</v>
      </c>
      <c r="F17" s="17">
        <v>210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155</v>
      </c>
      <c r="C18" s="17">
        <v>0</v>
      </c>
      <c r="D18" s="17">
        <v>3</v>
      </c>
      <c r="E18" s="17">
        <v>158</v>
      </c>
      <c r="F18" s="17">
        <v>200</v>
      </c>
      <c r="G18" s="17">
        <v>2</v>
      </c>
      <c r="H18" s="17">
        <v>3</v>
      </c>
      <c r="I18" s="17"/>
    </row>
    <row r="19" spans="1:9">
      <c r="A19" s="2">
        <v>46169</v>
      </c>
      <c r="B19" s="17">
        <v>107</v>
      </c>
      <c r="C19" s="17">
        <v>0</v>
      </c>
      <c r="D19" s="17">
        <v>2</v>
      </c>
      <c r="E19" s="17">
        <v>109</v>
      </c>
      <c r="F19" s="17">
        <v>165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1425</v>
      </c>
      <c r="C22" s="12">
        <f t="shared" si="1"/>
        <v>0</v>
      </c>
      <c r="D22" s="12">
        <f t="shared" si="1"/>
        <v>22</v>
      </c>
      <c r="E22" s="12">
        <f t="shared" si="1"/>
        <v>1447</v>
      </c>
      <c r="F22" s="12">
        <f t="shared" si="1"/>
        <v>2157</v>
      </c>
      <c r="G22" s="12">
        <f t="shared" si="1"/>
        <v>23</v>
      </c>
      <c r="H22" s="12">
        <f t="shared" si="1"/>
        <v>7</v>
      </c>
      <c r="I22" s="12">
        <f t="shared" si="1"/>
        <v>0</v>
      </c>
    </row>
    <row r="23" spans="1:9">
      <c r="A23" s="39" t="s">
        <v>18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1425</v>
      </c>
      <c r="E24" s="7">
        <v>10</v>
      </c>
      <c r="F24" s="7">
        <f>SUM(D24*E24)</f>
        <v>14250</v>
      </c>
      <c r="G24" s="40">
        <f>SUM(F24+F25)</f>
        <v>14960</v>
      </c>
      <c r="H24" s="8"/>
    </row>
    <row r="25" spans="1:9">
      <c r="A25" s="39"/>
      <c r="B25" s="39"/>
      <c r="C25" s="7" t="s">
        <v>10</v>
      </c>
      <c r="D25" s="7">
        <f>F22</f>
        <v>2157</v>
      </c>
      <c r="E25" s="7">
        <f>E22</f>
        <v>1447</v>
      </c>
      <c r="F25" s="7">
        <f>SUM(D25-E25)</f>
        <v>710</v>
      </c>
      <c r="G25" s="40"/>
      <c r="H25" s="8"/>
    </row>
    <row r="26" spans="1:9">
      <c r="A26" s="39"/>
      <c r="B26" s="39"/>
      <c r="C26" s="7" t="s">
        <v>11</v>
      </c>
      <c r="D26" s="7">
        <f>G22</f>
        <v>23</v>
      </c>
      <c r="E26" s="7">
        <v>15</v>
      </c>
      <c r="F26" s="7">
        <f>SUM(D26*E26)</f>
        <v>345</v>
      </c>
      <c r="G26" s="13">
        <f>SUM(F26+H22)</f>
        <v>352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15312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I28"/>
  <sheetViews>
    <sheetView zoomScale="82" zoomScaleNormal="82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88</v>
      </c>
      <c r="C2" s="17">
        <v>0</v>
      </c>
      <c r="D2" s="17">
        <v>7</v>
      </c>
      <c r="E2" s="17">
        <v>95</v>
      </c>
      <c r="F2" s="17">
        <v>88</v>
      </c>
      <c r="G2" s="17">
        <v>0</v>
      </c>
      <c r="H2" s="17"/>
      <c r="I2" s="17"/>
    </row>
    <row r="3" spans="1:9">
      <c r="A3" s="2">
        <v>46147</v>
      </c>
      <c r="B3" s="17">
        <v>88</v>
      </c>
      <c r="C3" s="17">
        <v>0</v>
      </c>
      <c r="D3" s="17">
        <v>7</v>
      </c>
      <c r="E3" s="17">
        <v>95</v>
      </c>
      <c r="F3" s="17">
        <v>88</v>
      </c>
      <c r="G3" s="17">
        <v>0</v>
      </c>
      <c r="H3" s="17"/>
      <c r="I3" s="17"/>
    </row>
    <row r="4" spans="1:9" s="19" customFormat="1">
      <c r="A4" s="2">
        <v>46148</v>
      </c>
      <c r="B4" s="17">
        <v>80</v>
      </c>
      <c r="C4" s="17">
        <v>0</v>
      </c>
      <c r="D4" s="17">
        <v>7</v>
      </c>
      <c r="E4" s="17">
        <v>87</v>
      </c>
      <c r="F4" s="17">
        <v>80</v>
      </c>
      <c r="G4" s="17">
        <v>1</v>
      </c>
      <c r="H4" s="17"/>
      <c r="I4" s="17"/>
    </row>
    <row r="5" spans="1:9" s="19" customFormat="1">
      <c r="A5" s="2">
        <v>46149</v>
      </c>
      <c r="B5" s="17">
        <v>57</v>
      </c>
      <c r="C5" s="17">
        <v>0</v>
      </c>
      <c r="D5" s="17">
        <v>4</v>
      </c>
      <c r="E5" s="17">
        <v>61</v>
      </c>
      <c r="F5" s="17">
        <v>57</v>
      </c>
      <c r="G5" s="17">
        <v>0</v>
      </c>
      <c r="H5" s="17"/>
      <c r="I5" s="17"/>
    </row>
    <row r="6" spans="1:9">
      <c r="A6" s="2">
        <v>46150</v>
      </c>
      <c r="B6" s="17">
        <v>57</v>
      </c>
      <c r="C6" s="17">
        <v>0</v>
      </c>
      <c r="D6" s="17">
        <v>6</v>
      </c>
      <c r="E6" s="17">
        <v>63</v>
      </c>
      <c r="F6" s="17">
        <v>57</v>
      </c>
      <c r="G6" s="17">
        <v>0</v>
      </c>
      <c r="H6" s="17"/>
      <c r="I6" s="17"/>
    </row>
    <row r="7" spans="1:9">
      <c r="A7" s="2">
        <v>46153</v>
      </c>
      <c r="B7" s="17">
        <v>74</v>
      </c>
      <c r="C7" s="17">
        <v>0</v>
      </c>
      <c r="D7" s="17">
        <v>5</v>
      </c>
      <c r="E7" s="17">
        <v>79</v>
      </c>
      <c r="F7" s="17">
        <v>74</v>
      </c>
      <c r="G7" s="17">
        <v>0</v>
      </c>
      <c r="H7" s="17"/>
      <c r="I7" s="17"/>
    </row>
    <row r="8" spans="1:9">
      <c r="A8" s="2">
        <v>46154</v>
      </c>
      <c r="B8" s="17">
        <v>63</v>
      </c>
      <c r="C8" s="17">
        <v>0</v>
      </c>
      <c r="D8" s="17">
        <v>3</v>
      </c>
      <c r="E8" s="17">
        <v>66</v>
      </c>
      <c r="F8" s="17">
        <v>63</v>
      </c>
      <c r="G8" s="17">
        <v>0</v>
      </c>
      <c r="H8" s="17"/>
      <c r="I8" s="17"/>
    </row>
    <row r="9" spans="1:9">
      <c r="A9" s="2">
        <v>46155</v>
      </c>
      <c r="B9" s="17">
        <v>35</v>
      </c>
      <c r="C9" s="17">
        <v>0</v>
      </c>
      <c r="D9" s="17">
        <v>0</v>
      </c>
      <c r="E9" s="17">
        <v>35</v>
      </c>
      <c r="F9" s="17">
        <v>37</v>
      </c>
      <c r="G9" s="17">
        <v>1</v>
      </c>
      <c r="H9" s="17"/>
      <c r="I9" s="17"/>
    </row>
    <row r="10" spans="1:9">
      <c r="A10" s="2">
        <v>46156</v>
      </c>
      <c r="B10" s="17">
        <v>50</v>
      </c>
      <c r="C10" s="17">
        <v>0</v>
      </c>
      <c r="D10" s="17">
        <v>6</v>
      </c>
      <c r="E10" s="17">
        <v>56</v>
      </c>
      <c r="F10" s="17">
        <v>50</v>
      </c>
      <c r="G10" s="17">
        <v>0</v>
      </c>
      <c r="H10" s="17"/>
      <c r="I10" s="17"/>
    </row>
    <row r="11" spans="1:9">
      <c r="A11" s="2">
        <v>46157</v>
      </c>
      <c r="B11" s="17">
        <v>56</v>
      </c>
      <c r="C11" s="17">
        <v>0</v>
      </c>
      <c r="D11" s="17">
        <v>2</v>
      </c>
      <c r="E11" s="17">
        <v>58</v>
      </c>
      <c r="F11" s="17">
        <v>56</v>
      </c>
      <c r="G11" s="17"/>
      <c r="H11" s="17">
        <v>0</v>
      </c>
      <c r="I11" s="17"/>
    </row>
    <row r="12" spans="1:9">
      <c r="A12" s="2">
        <v>46160</v>
      </c>
      <c r="B12" s="17">
        <v>90</v>
      </c>
      <c r="C12" s="17">
        <v>0</v>
      </c>
      <c r="D12" s="17">
        <v>7</v>
      </c>
      <c r="E12" s="17">
        <v>97</v>
      </c>
      <c r="F12" s="17">
        <v>90</v>
      </c>
      <c r="G12" s="17">
        <v>0</v>
      </c>
      <c r="H12" s="17"/>
      <c r="I12" s="17"/>
    </row>
    <row r="13" spans="1:9">
      <c r="A13" s="2">
        <v>46161</v>
      </c>
      <c r="B13" s="17">
        <v>71</v>
      </c>
      <c r="C13" s="17">
        <v>0</v>
      </c>
      <c r="D13" s="17">
        <v>3</v>
      </c>
      <c r="E13" s="17">
        <v>74</v>
      </c>
      <c r="F13" s="17">
        <v>71</v>
      </c>
      <c r="G13" s="17">
        <v>0</v>
      </c>
      <c r="H13" s="17"/>
      <c r="I13" s="17"/>
    </row>
    <row r="14" spans="1:9">
      <c r="A14" s="2">
        <v>46162</v>
      </c>
      <c r="B14" s="17">
        <v>65</v>
      </c>
      <c r="C14" s="17">
        <v>0</v>
      </c>
      <c r="D14" s="17">
        <v>1</v>
      </c>
      <c r="E14" s="17">
        <v>66</v>
      </c>
      <c r="F14" s="17">
        <v>65</v>
      </c>
      <c r="G14" s="17"/>
      <c r="H14" s="17"/>
      <c r="I14" s="17"/>
    </row>
    <row r="15" spans="1:9">
      <c r="A15" s="2">
        <v>46163</v>
      </c>
      <c r="B15" s="17">
        <v>78</v>
      </c>
      <c r="C15" s="17">
        <v>0</v>
      </c>
      <c r="D15" s="17">
        <v>12</v>
      </c>
      <c r="E15" s="17">
        <v>90</v>
      </c>
      <c r="F15" s="17">
        <v>78</v>
      </c>
      <c r="G15" s="17">
        <v>0</v>
      </c>
      <c r="H15" s="17"/>
      <c r="I15" s="17"/>
    </row>
    <row r="16" spans="1:9">
      <c r="A16" s="2">
        <v>46164</v>
      </c>
      <c r="B16" s="17">
        <v>77</v>
      </c>
      <c r="C16" s="17">
        <v>0</v>
      </c>
      <c r="D16" s="17">
        <v>2</v>
      </c>
      <c r="E16" s="17">
        <v>79</v>
      </c>
      <c r="F16" s="17">
        <v>77</v>
      </c>
      <c r="G16" s="17">
        <v>0</v>
      </c>
      <c r="H16" s="17"/>
      <c r="I16" s="17"/>
    </row>
    <row r="17" spans="1:9">
      <c r="A17" s="2">
        <v>46167</v>
      </c>
      <c r="B17" s="17">
        <v>94</v>
      </c>
      <c r="C17" s="17">
        <v>0</v>
      </c>
      <c r="D17" s="17">
        <v>3</v>
      </c>
      <c r="E17" s="17">
        <v>97</v>
      </c>
      <c r="F17" s="17">
        <v>94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93</v>
      </c>
      <c r="C18" s="17">
        <v>0</v>
      </c>
      <c r="D18" s="17">
        <v>5</v>
      </c>
      <c r="E18" s="17">
        <v>98</v>
      </c>
      <c r="F18" s="17">
        <v>93</v>
      </c>
      <c r="G18" s="17">
        <v>0</v>
      </c>
      <c r="H18" s="17"/>
      <c r="I18" s="17"/>
    </row>
    <row r="19" spans="1:9">
      <c r="A19" s="2">
        <v>46169</v>
      </c>
      <c r="B19" s="17">
        <v>72</v>
      </c>
      <c r="C19" s="17">
        <v>0</v>
      </c>
      <c r="D19" s="17">
        <v>1</v>
      </c>
      <c r="E19" s="17">
        <v>73</v>
      </c>
      <c r="F19" s="17">
        <v>72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1288</v>
      </c>
      <c r="C22" s="12">
        <f t="shared" si="1"/>
        <v>0</v>
      </c>
      <c r="D22" s="12">
        <f t="shared" si="1"/>
        <v>81</v>
      </c>
      <c r="E22" s="12">
        <f t="shared" si="1"/>
        <v>1369</v>
      </c>
      <c r="F22" s="12">
        <f t="shared" si="1"/>
        <v>1290</v>
      </c>
      <c r="G22" s="12">
        <f t="shared" si="1"/>
        <v>2</v>
      </c>
      <c r="H22" s="12">
        <f t="shared" si="1"/>
        <v>0</v>
      </c>
      <c r="I22" s="12">
        <f t="shared" si="1"/>
        <v>0</v>
      </c>
    </row>
    <row r="23" spans="1:9">
      <c r="A23" s="39" t="s">
        <v>31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1288</v>
      </c>
      <c r="E24" s="7">
        <v>10</v>
      </c>
      <c r="F24" s="7">
        <f>SUM(D24*E24)</f>
        <v>12880</v>
      </c>
      <c r="G24" s="40">
        <f>SUM(F24+F25)</f>
        <v>12801</v>
      </c>
      <c r="H24" s="8"/>
    </row>
    <row r="25" spans="1:9">
      <c r="A25" s="39"/>
      <c r="B25" s="39"/>
      <c r="C25" s="7" t="s">
        <v>10</v>
      </c>
      <c r="D25" s="7">
        <f>F22</f>
        <v>1290</v>
      </c>
      <c r="E25" s="7">
        <f>E22</f>
        <v>1369</v>
      </c>
      <c r="F25" s="7">
        <f>SUM(D25-E25)</f>
        <v>-79</v>
      </c>
      <c r="G25" s="40"/>
      <c r="H25" s="8"/>
    </row>
    <row r="26" spans="1:9">
      <c r="A26" s="39"/>
      <c r="B26" s="39"/>
      <c r="C26" s="7" t="s">
        <v>11</v>
      </c>
      <c r="D26" s="7">
        <f>G22</f>
        <v>2</v>
      </c>
      <c r="E26" s="7">
        <v>15</v>
      </c>
      <c r="F26" s="7">
        <f>SUM(D26*E26)</f>
        <v>30</v>
      </c>
      <c r="G26" s="13">
        <f>SUM(F26+H22)</f>
        <v>30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12831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I28"/>
  <sheetViews>
    <sheetView zoomScale="82" zoomScaleNormal="82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73</v>
      </c>
      <c r="C2" s="17">
        <v>0</v>
      </c>
      <c r="D2" s="17">
        <v>3</v>
      </c>
      <c r="E2" s="17">
        <v>76</v>
      </c>
      <c r="F2" s="17">
        <v>75</v>
      </c>
      <c r="G2" s="17">
        <v>0</v>
      </c>
      <c r="H2" s="17"/>
      <c r="I2" s="17"/>
    </row>
    <row r="3" spans="1:9">
      <c r="A3" s="2">
        <v>46147</v>
      </c>
      <c r="B3" s="17">
        <v>95</v>
      </c>
      <c r="C3" s="17">
        <v>0</v>
      </c>
      <c r="D3" s="17">
        <v>0</v>
      </c>
      <c r="E3" s="17">
        <v>95</v>
      </c>
      <c r="F3" s="17">
        <v>120</v>
      </c>
      <c r="G3" s="17">
        <v>0</v>
      </c>
      <c r="H3" s="17"/>
      <c r="I3" s="17"/>
    </row>
    <row r="4" spans="1:9" s="19" customFormat="1">
      <c r="A4" s="2">
        <v>46148</v>
      </c>
      <c r="B4" s="17">
        <v>71</v>
      </c>
      <c r="C4" s="17">
        <v>0</v>
      </c>
      <c r="D4" s="17">
        <v>0</v>
      </c>
      <c r="E4" s="17">
        <v>71</v>
      </c>
      <c r="F4" s="17">
        <v>73</v>
      </c>
      <c r="G4" s="17">
        <v>2</v>
      </c>
      <c r="H4" s="17"/>
      <c r="I4" s="17"/>
    </row>
    <row r="5" spans="1:9" s="19" customFormat="1">
      <c r="A5" s="2">
        <v>46149</v>
      </c>
      <c r="B5" s="17">
        <v>56</v>
      </c>
      <c r="C5" s="17">
        <v>0</v>
      </c>
      <c r="D5" s="17">
        <v>0</v>
      </c>
      <c r="E5" s="17">
        <v>56</v>
      </c>
      <c r="F5" s="17">
        <v>61</v>
      </c>
      <c r="G5" s="17">
        <v>1</v>
      </c>
      <c r="H5" s="17"/>
      <c r="I5" s="17"/>
    </row>
    <row r="6" spans="1:9">
      <c r="A6" s="2">
        <v>46150</v>
      </c>
      <c r="B6" s="17">
        <v>66</v>
      </c>
      <c r="C6" s="17">
        <v>0</v>
      </c>
      <c r="D6" s="17">
        <v>3</v>
      </c>
      <c r="E6" s="17">
        <v>69</v>
      </c>
      <c r="F6" s="17">
        <v>69</v>
      </c>
      <c r="G6" s="17">
        <v>1</v>
      </c>
      <c r="H6" s="17"/>
      <c r="I6" s="17"/>
    </row>
    <row r="7" spans="1:9">
      <c r="A7" s="2">
        <v>46153</v>
      </c>
      <c r="B7" s="17">
        <v>80</v>
      </c>
      <c r="C7" s="17">
        <v>0</v>
      </c>
      <c r="D7" s="17">
        <v>1</v>
      </c>
      <c r="E7" s="17">
        <v>81</v>
      </c>
      <c r="F7" s="17">
        <v>82</v>
      </c>
      <c r="G7" s="17">
        <v>2</v>
      </c>
      <c r="H7" s="17"/>
      <c r="I7" s="17"/>
    </row>
    <row r="8" spans="1:9">
      <c r="A8" s="2">
        <v>46154</v>
      </c>
      <c r="B8" s="17">
        <v>65</v>
      </c>
      <c r="C8" s="17">
        <v>0</v>
      </c>
      <c r="D8" s="17">
        <v>0</v>
      </c>
      <c r="E8" s="17">
        <v>65</v>
      </c>
      <c r="F8" s="17">
        <v>65</v>
      </c>
      <c r="G8" s="17">
        <v>2</v>
      </c>
      <c r="H8" s="17">
        <v>4</v>
      </c>
      <c r="I8" s="17"/>
    </row>
    <row r="9" spans="1:9">
      <c r="A9" s="2">
        <v>46155</v>
      </c>
      <c r="B9" s="17">
        <v>53</v>
      </c>
      <c r="C9" s="17">
        <v>0</v>
      </c>
      <c r="D9" s="17">
        <v>0</v>
      </c>
      <c r="E9" s="17">
        <v>53</v>
      </c>
      <c r="F9" s="17">
        <v>55</v>
      </c>
      <c r="G9" s="17">
        <v>0</v>
      </c>
      <c r="H9" s="17"/>
      <c r="I9" s="17"/>
    </row>
    <row r="10" spans="1:9">
      <c r="A10" s="2">
        <v>46156</v>
      </c>
      <c r="B10" s="17">
        <v>53</v>
      </c>
      <c r="C10" s="17">
        <v>0</v>
      </c>
      <c r="D10" s="17">
        <v>4</v>
      </c>
      <c r="E10" s="17">
        <v>57</v>
      </c>
      <c r="F10" s="17">
        <v>57</v>
      </c>
      <c r="G10" s="17">
        <v>1</v>
      </c>
      <c r="H10" s="17">
        <v>2</v>
      </c>
      <c r="I10" s="17"/>
    </row>
    <row r="11" spans="1:9">
      <c r="A11" s="2">
        <v>46157</v>
      </c>
      <c r="B11" s="29"/>
      <c r="C11" s="29"/>
      <c r="D11" s="29"/>
      <c r="E11" s="29">
        <v>0</v>
      </c>
      <c r="F11" s="29"/>
      <c r="G11" s="29"/>
      <c r="H11" s="29"/>
      <c r="I11" s="29"/>
    </row>
    <row r="12" spans="1:9">
      <c r="A12" s="2">
        <v>46160</v>
      </c>
      <c r="B12" s="17">
        <v>73</v>
      </c>
      <c r="C12" s="17">
        <v>0</v>
      </c>
      <c r="D12" s="17">
        <v>3</v>
      </c>
      <c r="E12" s="17">
        <v>76</v>
      </c>
      <c r="F12" s="17">
        <v>83</v>
      </c>
      <c r="G12" s="17">
        <v>0</v>
      </c>
      <c r="H12" s="17"/>
      <c r="I12" s="17"/>
    </row>
    <row r="13" spans="1:9">
      <c r="A13" s="2">
        <v>46161</v>
      </c>
      <c r="B13" s="17">
        <v>84</v>
      </c>
      <c r="C13" s="17">
        <v>0</v>
      </c>
      <c r="D13" s="17">
        <v>1</v>
      </c>
      <c r="E13" s="17">
        <v>85</v>
      </c>
      <c r="F13" s="17">
        <v>93</v>
      </c>
      <c r="G13" s="17">
        <v>0</v>
      </c>
      <c r="H13" s="17"/>
      <c r="I13" s="17"/>
    </row>
    <row r="14" spans="1:9">
      <c r="A14" s="2">
        <v>46162</v>
      </c>
      <c r="B14" s="17">
        <v>66</v>
      </c>
      <c r="C14" s="17">
        <v>0</v>
      </c>
      <c r="D14" s="17">
        <v>0</v>
      </c>
      <c r="E14" s="17">
        <v>66</v>
      </c>
      <c r="F14" s="17">
        <v>69</v>
      </c>
      <c r="G14" s="17">
        <v>0</v>
      </c>
      <c r="H14" s="17"/>
      <c r="I14" s="17"/>
    </row>
    <row r="15" spans="1:9">
      <c r="A15" s="2">
        <v>46163</v>
      </c>
      <c r="B15" s="17">
        <v>76</v>
      </c>
      <c r="C15" s="17">
        <v>0</v>
      </c>
      <c r="D15" s="17">
        <v>1</v>
      </c>
      <c r="E15" s="17">
        <v>77</v>
      </c>
      <c r="F15" s="17">
        <v>76</v>
      </c>
      <c r="G15" s="17">
        <v>1</v>
      </c>
      <c r="H15" s="17"/>
      <c r="I15" s="17"/>
    </row>
    <row r="16" spans="1:9">
      <c r="A16" s="2">
        <v>46164</v>
      </c>
      <c r="B16" s="17">
        <v>66</v>
      </c>
      <c r="C16" s="17">
        <v>0</v>
      </c>
      <c r="D16" s="17">
        <v>4</v>
      </c>
      <c r="E16" s="17">
        <v>70</v>
      </c>
      <c r="F16" s="17">
        <v>66</v>
      </c>
      <c r="G16" s="17">
        <v>0</v>
      </c>
      <c r="H16" s="17"/>
      <c r="I16" s="17"/>
    </row>
    <row r="17" spans="1:9">
      <c r="A17" s="2">
        <v>46167</v>
      </c>
      <c r="B17" s="17">
        <v>94</v>
      </c>
      <c r="C17" s="17">
        <v>0</v>
      </c>
      <c r="D17" s="17">
        <v>3</v>
      </c>
      <c r="E17" s="17">
        <v>97</v>
      </c>
      <c r="F17" s="17">
        <v>94</v>
      </c>
      <c r="G17" s="17">
        <v>1</v>
      </c>
      <c r="H17" s="17">
        <v>1</v>
      </c>
      <c r="I17" s="17"/>
    </row>
    <row r="18" spans="1:9">
      <c r="A18" s="2">
        <v>46168</v>
      </c>
      <c r="B18" s="17">
        <v>83</v>
      </c>
      <c r="C18" s="17">
        <v>0</v>
      </c>
      <c r="D18" s="17">
        <v>0</v>
      </c>
      <c r="E18" s="17">
        <v>83</v>
      </c>
      <c r="F18" s="17">
        <v>87</v>
      </c>
      <c r="G18" s="17">
        <v>0</v>
      </c>
      <c r="H18" s="17"/>
      <c r="I18" s="17"/>
    </row>
    <row r="19" spans="1:9">
      <c r="A19" s="2">
        <v>46169</v>
      </c>
      <c r="B19" s="17">
        <v>70</v>
      </c>
      <c r="C19" s="17">
        <v>0</v>
      </c>
      <c r="D19" s="17">
        <v>1</v>
      </c>
      <c r="E19" s="17">
        <v>71</v>
      </c>
      <c r="F19" s="17">
        <v>75</v>
      </c>
      <c r="G19" s="17">
        <v>1</v>
      </c>
      <c r="H19" s="17">
        <v>1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1224</v>
      </c>
      <c r="C22" s="12">
        <f t="shared" si="1"/>
        <v>0</v>
      </c>
      <c r="D22" s="12">
        <f t="shared" si="1"/>
        <v>24</v>
      </c>
      <c r="E22" s="12">
        <f t="shared" si="1"/>
        <v>1248</v>
      </c>
      <c r="F22" s="12">
        <f t="shared" si="1"/>
        <v>1300</v>
      </c>
      <c r="G22" s="12">
        <f t="shared" si="1"/>
        <v>12</v>
      </c>
      <c r="H22" s="12">
        <f t="shared" si="1"/>
        <v>8</v>
      </c>
      <c r="I22" s="12">
        <f t="shared" si="1"/>
        <v>0</v>
      </c>
    </row>
    <row r="23" spans="1:9">
      <c r="A23" s="39" t="s">
        <v>15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1224</v>
      </c>
      <c r="E24" s="7">
        <v>10</v>
      </c>
      <c r="F24" s="7">
        <f>SUM(D24*E24)</f>
        <v>12240</v>
      </c>
      <c r="G24" s="40">
        <f>SUM(F24+F25)</f>
        <v>12292</v>
      </c>
      <c r="H24" s="8"/>
    </row>
    <row r="25" spans="1:9">
      <c r="A25" s="39"/>
      <c r="B25" s="39"/>
      <c r="C25" s="7" t="s">
        <v>10</v>
      </c>
      <c r="D25" s="7">
        <f>F22</f>
        <v>1300</v>
      </c>
      <c r="E25" s="7">
        <f>E22</f>
        <v>1248</v>
      </c>
      <c r="F25" s="7">
        <f>SUM(D25-E25)</f>
        <v>52</v>
      </c>
      <c r="G25" s="40"/>
      <c r="H25" s="8"/>
    </row>
    <row r="26" spans="1:9">
      <c r="A26" s="39"/>
      <c r="B26" s="39"/>
      <c r="C26" s="7" t="s">
        <v>11</v>
      </c>
      <c r="D26" s="7">
        <f>G22</f>
        <v>12</v>
      </c>
      <c r="E26" s="7">
        <v>15</v>
      </c>
      <c r="F26" s="7">
        <f>SUM(D26*E26)</f>
        <v>180</v>
      </c>
      <c r="G26" s="13">
        <f>SUM(F26+H22)</f>
        <v>188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12480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I28"/>
  <sheetViews>
    <sheetView zoomScale="79" zoomScaleNormal="79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67</v>
      </c>
      <c r="C2" s="17">
        <v>0</v>
      </c>
      <c r="D2" s="17">
        <v>6</v>
      </c>
      <c r="E2" s="17">
        <v>73</v>
      </c>
      <c r="F2" s="17">
        <v>67</v>
      </c>
      <c r="G2" s="17">
        <v>0</v>
      </c>
      <c r="H2" s="17"/>
      <c r="I2" s="17"/>
    </row>
    <row r="3" spans="1:9">
      <c r="A3" s="2">
        <v>46147</v>
      </c>
      <c r="B3" s="17"/>
      <c r="C3" s="17"/>
      <c r="D3" s="17"/>
      <c r="E3" s="17">
        <v>0</v>
      </c>
      <c r="F3" s="17"/>
      <c r="G3" s="17"/>
      <c r="H3" s="17"/>
      <c r="I3" s="17"/>
    </row>
    <row r="4" spans="1:9" s="19" customFormat="1">
      <c r="A4" s="2">
        <v>46148</v>
      </c>
      <c r="B4" s="17">
        <v>59</v>
      </c>
      <c r="C4" s="17">
        <v>0</v>
      </c>
      <c r="D4" s="17">
        <v>1</v>
      </c>
      <c r="E4" s="17">
        <v>60</v>
      </c>
      <c r="F4" s="17">
        <v>59</v>
      </c>
      <c r="G4" s="17">
        <v>0</v>
      </c>
      <c r="H4" s="17"/>
      <c r="I4" s="17"/>
    </row>
    <row r="5" spans="1:9" s="19" customFormat="1">
      <c r="A5" s="2">
        <v>46149</v>
      </c>
      <c r="B5" s="17">
        <v>59</v>
      </c>
      <c r="C5" s="17">
        <v>0</v>
      </c>
      <c r="D5" s="17">
        <v>2</v>
      </c>
      <c r="E5" s="17">
        <v>61</v>
      </c>
      <c r="F5" s="17">
        <v>59</v>
      </c>
      <c r="G5" s="17">
        <v>0</v>
      </c>
      <c r="H5" s="17"/>
      <c r="I5" s="17"/>
    </row>
    <row r="6" spans="1:9">
      <c r="A6" s="2">
        <v>46150</v>
      </c>
      <c r="B6" s="17">
        <v>47</v>
      </c>
      <c r="C6" s="17">
        <v>0</v>
      </c>
      <c r="D6" s="17">
        <v>1</v>
      </c>
      <c r="E6" s="17">
        <v>48</v>
      </c>
      <c r="F6" s="17">
        <v>47</v>
      </c>
      <c r="G6" s="17">
        <v>0</v>
      </c>
      <c r="H6" s="17"/>
      <c r="I6" s="17"/>
    </row>
    <row r="7" spans="1:9">
      <c r="A7" s="2">
        <v>46153</v>
      </c>
      <c r="B7" s="17">
        <v>64</v>
      </c>
      <c r="C7" s="17">
        <v>0</v>
      </c>
      <c r="D7" s="17">
        <v>1</v>
      </c>
      <c r="E7" s="17">
        <v>65</v>
      </c>
      <c r="F7" s="17">
        <v>64</v>
      </c>
      <c r="G7" s="17">
        <v>0</v>
      </c>
      <c r="H7" s="17"/>
      <c r="I7" s="17"/>
    </row>
    <row r="8" spans="1:9">
      <c r="A8" s="2">
        <v>46154</v>
      </c>
      <c r="B8" s="17">
        <v>49</v>
      </c>
      <c r="C8" s="17">
        <v>0</v>
      </c>
      <c r="D8" s="17">
        <v>1</v>
      </c>
      <c r="E8" s="17">
        <v>50</v>
      </c>
      <c r="F8" s="17">
        <v>49</v>
      </c>
      <c r="G8" s="17">
        <v>0</v>
      </c>
      <c r="H8" s="17"/>
      <c r="I8" s="17"/>
    </row>
    <row r="9" spans="1:9">
      <c r="A9" s="2">
        <v>46155</v>
      </c>
      <c r="B9" s="17">
        <v>40</v>
      </c>
      <c r="C9" s="17">
        <v>0</v>
      </c>
      <c r="D9" s="17">
        <v>2</v>
      </c>
      <c r="E9" s="17">
        <v>42</v>
      </c>
      <c r="F9" s="17">
        <v>40</v>
      </c>
      <c r="G9" s="17">
        <v>0</v>
      </c>
      <c r="H9" s="17"/>
      <c r="I9" s="17"/>
    </row>
    <row r="10" spans="1:9">
      <c r="A10" s="2">
        <v>46156</v>
      </c>
      <c r="B10" s="17">
        <v>33</v>
      </c>
      <c r="C10" s="17">
        <v>0</v>
      </c>
      <c r="D10" s="17">
        <v>4</v>
      </c>
      <c r="E10" s="17">
        <v>37</v>
      </c>
      <c r="F10" s="17">
        <v>33</v>
      </c>
      <c r="G10" s="17">
        <v>0</v>
      </c>
      <c r="H10" s="17"/>
      <c r="I10" s="17"/>
    </row>
    <row r="11" spans="1:9">
      <c r="A11" s="2">
        <v>46157</v>
      </c>
      <c r="B11" s="17">
        <v>56</v>
      </c>
      <c r="C11" s="17">
        <v>0</v>
      </c>
      <c r="D11" s="17">
        <v>2</v>
      </c>
      <c r="E11" s="17">
        <v>58</v>
      </c>
      <c r="F11" s="17">
        <v>56</v>
      </c>
      <c r="G11" s="17">
        <v>0</v>
      </c>
      <c r="H11" s="17"/>
      <c r="I11" s="17"/>
    </row>
    <row r="12" spans="1:9">
      <c r="A12" s="2">
        <v>46160</v>
      </c>
      <c r="B12" s="17">
        <v>74</v>
      </c>
      <c r="C12" s="17">
        <v>0</v>
      </c>
      <c r="D12" s="17">
        <v>0</v>
      </c>
      <c r="E12" s="17">
        <v>74</v>
      </c>
      <c r="F12" s="17">
        <v>74</v>
      </c>
      <c r="G12" s="17">
        <v>0</v>
      </c>
      <c r="H12" s="17"/>
      <c r="I12" s="17"/>
    </row>
    <row r="13" spans="1:9">
      <c r="A13" s="2">
        <v>46161</v>
      </c>
      <c r="B13" s="17">
        <v>67</v>
      </c>
      <c r="C13" s="17">
        <v>0</v>
      </c>
      <c r="D13" s="17">
        <v>2</v>
      </c>
      <c r="E13" s="17">
        <v>69</v>
      </c>
      <c r="F13" s="17">
        <v>67</v>
      </c>
      <c r="G13" s="17">
        <v>0</v>
      </c>
      <c r="H13" s="17"/>
      <c r="I13" s="17"/>
    </row>
    <row r="14" spans="1:9">
      <c r="A14" s="2">
        <v>46162</v>
      </c>
      <c r="B14" s="17">
        <v>55</v>
      </c>
      <c r="C14" s="17">
        <v>0</v>
      </c>
      <c r="D14" s="17">
        <v>2</v>
      </c>
      <c r="E14" s="17">
        <v>57</v>
      </c>
      <c r="F14" s="17">
        <v>55</v>
      </c>
      <c r="G14" s="17">
        <v>0</v>
      </c>
      <c r="H14" s="17"/>
      <c r="I14" s="17"/>
    </row>
    <row r="15" spans="1:9">
      <c r="A15" s="2">
        <v>46163</v>
      </c>
      <c r="B15" s="17">
        <v>73</v>
      </c>
      <c r="C15" s="17">
        <v>0</v>
      </c>
      <c r="D15" s="17">
        <v>1</v>
      </c>
      <c r="E15" s="17">
        <v>74</v>
      </c>
      <c r="F15" s="17">
        <v>0</v>
      </c>
      <c r="G15" s="17">
        <v>0</v>
      </c>
      <c r="H15" s="17"/>
      <c r="I15" s="17"/>
    </row>
    <row r="16" spans="1:9">
      <c r="A16" s="2">
        <v>46164</v>
      </c>
      <c r="B16" s="17">
        <v>59</v>
      </c>
      <c r="C16" s="17">
        <v>0</v>
      </c>
      <c r="D16" s="17">
        <v>0</v>
      </c>
      <c r="E16" s="17">
        <v>59</v>
      </c>
      <c r="F16" s="17">
        <v>59</v>
      </c>
      <c r="G16" s="17">
        <v>0</v>
      </c>
      <c r="H16" s="17"/>
      <c r="I16" s="17"/>
    </row>
    <row r="17" spans="1:9">
      <c r="A17" s="2">
        <v>46167</v>
      </c>
      <c r="B17" s="17">
        <v>72</v>
      </c>
      <c r="C17" s="17">
        <v>4</v>
      </c>
      <c r="D17" s="17">
        <v>0</v>
      </c>
      <c r="E17" s="17">
        <v>76</v>
      </c>
      <c r="F17" s="17">
        <v>72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58</v>
      </c>
      <c r="C18" s="17">
        <v>0</v>
      </c>
      <c r="D18" s="17">
        <v>2</v>
      </c>
      <c r="E18" s="17">
        <v>60</v>
      </c>
      <c r="F18" s="17">
        <v>58</v>
      </c>
      <c r="G18" s="17">
        <v>0</v>
      </c>
      <c r="H18" s="17"/>
      <c r="I18" s="17"/>
    </row>
    <row r="19" spans="1:9">
      <c r="A19" s="2">
        <v>46169</v>
      </c>
      <c r="B19" s="17">
        <v>55</v>
      </c>
      <c r="C19" s="17">
        <v>0</v>
      </c>
      <c r="D19" s="17">
        <v>1</v>
      </c>
      <c r="E19" s="17">
        <v>56</v>
      </c>
      <c r="F19" s="17">
        <v>55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987</v>
      </c>
      <c r="C22" s="12">
        <f t="shared" si="1"/>
        <v>4</v>
      </c>
      <c r="D22" s="12">
        <f t="shared" si="1"/>
        <v>28</v>
      </c>
      <c r="E22" s="12">
        <f t="shared" si="1"/>
        <v>1019</v>
      </c>
      <c r="F22" s="12">
        <f t="shared" si="1"/>
        <v>914</v>
      </c>
      <c r="G22" s="12">
        <f t="shared" si="1"/>
        <v>0</v>
      </c>
      <c r="H22" s="12">
        <f t="shared" si="1"/>
        <v>0</v>
      </c>
      <c r="I22" s="12">
        <f t="shared" si="1"/>
        <v>0</v>
      </c>
    </row>
    <row r="23" spans="1:9">
      <c r="A23" s="39" t="s">
        <v>27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987</v>
      </c>
      <c r="E24" s="7">
        <v>10</v>
      </c>
      <c r="F24" s="7">
        <f>SUM(D24*E24)</f>
        <v>9870</v>
      </c>
      <c r="G24" s="40">
        <f>SUM(F24+F25)</f>
        <v>9765</v>
      </c>
      <c r="H24" s="8"/>
    </row>
    <row r="25" spans="1:9">
      <c r="A25" s="39"/>
      <c r="B25" s="39"/>
      <c r="C25" s="7" t="s">
        <v>10</v>
      </c>
      <c r="D25" s="7">
        <f>F22</f>
        <v>914</v>
      </c>
      <c r="E25" s="7">
        <f>E22</f>
        <v>1019</v>
      </c>
      <c r="F25" s="7">
        <f>SUM(D25-E25)</f>
        <v>-105</v>
      </c>
      <c r="G25" s="40"/>
      <c r="H25" s="8"/>
    </row>
    <row r="26" spans="1:9">
      <c r="A26" s="39"/>
      <c r="B26" s="39"/>
      <c r="C26" s="7" t="s">
        <v>11</v>
      </c>
      <c r="D26" s="7">
        <f>G22</f>
        <v>0</v>
      </c>
      <c r="E26" s="7">
        <v>15</v>
      </c>
      <c r="F26" s="7">
        <f>SUM(D26*E26)</f>
        <v>0</v>
      </c>
      <c r="G26" s="13">
        <f>SUM(F26+H22)</f>
        <v>0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9765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I28"/>
  <sheetViews>
    <sheetView zoomScale="85" zoomScaleNormal="85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75</v>
      </c>
      <c r="C2" s="17">
        <v>0</v>
      </c>
      <c r="D2" s="17">
        <v>11</v>
      </c>
      <c r="E2" s="17">
        <v>86</v>
      </c>
      <c r="F2" s="17">
        <v>85</v>
      </c>
      <c r="G2" s="17">
        <v>3</v>
      </c>
      <c r="H2" s="17">
        <v>4</v>
      </c>
      <c r="I2" s="17"/>
    </row>
    <row r="3" spans="1:9">
      <c r="A3" s="2">
        <v>46147</v>
      </c>
      <c r="B3" s="17">
        <v>99</v>
      </c>
      <c r="C3" s="17">
        <v>0</v>
      </c>
      <c r="D3" s="17">
        <v>9</v>
      </c>
      <c r="E3" s="17">
        <v>108</v>
      </c>
      <c r="F3" s="17">
        <v>101</v>
      </c>
      <c r="G3" s="17">
        <v>0</v>
      </c>
      <c r="H3" s="17"/>
      <c r="I3" s="17"/>
    </row>
    <row r="4" spans="1:9" s="19" customFormat="1">
      <c r="A4" s="2">
        <v>46148</v>
      </c>
      <c r="B4" s="17">
        <v>87</v>
      </c>
      <c r="C4" s="17">
        <v>0</v>
      </c>
      <c r="D4" s="17">
        <v>5</v>
      </c>
      <c r="E4" s="17">
        <v>92</v>
      </c>
      <c r="F4" s="17">
        <v>97</v>
      </c>
      <c r="G4" s="17">
        <v>1</v>
      </c>
      <c r="H4" s="17"/>
      <c r="I4" s="17"/>
    </row>
    <row r="5" spans="1:9" s="19" customFormat="1">
      <c r="A5" s="2">
        <v>46149</v>
      </c>
      <c r="B5" s="17">
        <v>44</v>
      </c>
      <c r="C5" s="17">
        <v>0</v>
      </c>
      <c r="D5" s="17">
        <v>1</v>
      </c>
      <c r="E5" s="17">
        <v>45</v>
      </c>
      <c r="F5" s="17">
        <v>75</v>
      </c>
      <c r="G5" s="17">
        <v>1</v>
      </c>
      <c r="H5" s="17"/>
      <c r="I5" s="17"/>
    </row>
    <row r="6" spans="1:9">
      <c r="A6" s="2">
        <v>46150</v>
      </c>
      <c r="B6" s="17">
        <v>47</v>
      </c>
      <c r="C6" s="17">
        <v>0</v>
      </c>
      <c r="D6" s="17">
        <v>2</v>
      </c>
      <c r="E6" s="17">
        <v>49</v>
      </c>
      <c r="F6" s="17">
        <v>64</v>
      </c>
      <c r="G6" s="17">
        <v>2</v>
      </c>
      <c r="H6" s="17"/>
      <c r="I6" s="17"/>
    </row>
    <row r="7" spans="1:9">
      <c r="A7" s="2">
        <v>46153</v>
      </c>
      <c r="B7" s="17">
        <v>68</v>
      </c>
      <c r="C7" s="17">
        <v>0</v>
      </c>
      <c r="D7" s="17">
        <v>3</v>
      </c>
      <c r="E7" s="17">
        <v>71</v>
      </c>
      <c r="F7" s="17">
        <v>88</v>
      </c>
      <c r="G7" s="17">
        <v>2</v>
      </c>
      <c r="H7" s="17"/>
      <c r="I7" s="17"/>
    </row>
    <row r="8" spans="1:9">
      <c r="A8" s="2">
        <v>46154</v>
      </c>
      <c r="B8" s="17">
        <v>54</v>
      </c>
      <c r="C8" s="17">
        <v>0</v>
      </c>
      <c r="D8" s="17">
        <v>5</v>
      </c>
      <c r="E8" s="17">
        <v>59</v>
      </c>
      <c r="F8" s="17">
        <v>89</v>
      </c>
      <c r="G8" s="17">
        <v>1</v>
      </c>
      <c r="H8" s="17"/>
      <c r="I8" s="17"/>
    </row>
    <row r="9" spans="1:9">
      <c r="A9" s="2">
        <v>46155</v>
      </c>
      <c r="B9" s="17">
        <v>49</v>
      </c>
      <c r="C9" s="17">
        <v>0</v>
      </c>
      <c r="D9" s="17">
        <v>4</v>
      </c>
      <c r="E9" s="17">
        <v>45</v>
      </c>
      <c r="F9" s="17">
        <v>57</v>
      </c>
      <c r="G9" s="17">
        <v>2</v>
      </c>
      <c r="H9" s="17">
        <v>3</v>
      </c>
      <c r="I9" s="17"/>
    </row>
    <row r="10" spans="1:9">
      <c r="A10" s="2">
        <v>46156</v>
      </c>
      <c r="B10" s="17">
        <v>44</v>
      </c>
      <c r="C10" s="17">
        <v>0</v>
      </c>
      <c r="D10" s="17">
        <v>1</v>
      </c>
      <c r="E10" s="17">
        <v>45</v>
      </c>
      <c r="F10" s="17">
        <v>64</v>
      </c>
      <c r="G10" s="17">
        <v>3</v>
      </c>
      <c r="H10" s="17">
        <v>6</v>
      </c>
      <c r="I10" s="17"/>
    </row>
    <row r="11" spans="1:9">
      <c r="A11" s="2">
        <v>46157</v>
      </c>
      <c r="B11" s="17">
        <v>63</v>
      </c>
      <c r="C11" s="17">
        <v>0</v>
      </c>
      <c r="D11" s="17">
        <v>3</v>
      </c>
      <c r="E11" s="17">
        <v>66</v>
      </c>
      <c r="F11" s="17">
        <v>73</v>
      </c>
      <c r="G11" s="17">
        <v>0</v>
      </c>
      <c r="H11" s="17"/>
      <c r="I11" s="17"/>
    </row>
    <row r="12" spans="1:9">
      <c r="A12" s="2">
        <v>46160</v>
      </c>
      <c r="B12" s="17">
        <v>66</v>
      </c>
      <c r="C12" s="17">
        <v>0</v>
      </c>
      <c r="D12" s="17">
        <v>9</v>
      </c>
      <c r="E12" s="17">
        <v>75</v>
      </c>
      <c r="F12" s="17">
        <v>102</v>
      </c>
      <c r="G12" s="17">
        <v>1</v>
      </c>
      <c r="H12" s="17"/>
      <c r="I12" s="17"/>
    </row>
    <row r="13" spans="1:9">
      <c r="A13" s="2">
        <v>46161</v>
      </c>
      <c r="B13" s="17">
        <v>86</v>
      </c>
      <c r="C13" s="17">
        <v>0</v>
      </c>
      <c r="D13" s="17">
        <v>12</v>
      </c>
      <c r="E13" s="17">
        <v>98</v>
      </c>
      <c r="F13" s="17">
        <v>93</v>
      </c>
      <c r="G13" s="17">
        <v>1</v>
      </c>
      <c r="H13" s="17"/>
      <c r="I13" s="17"/>
    </row>
    <row r="14" spans="1:9">
      <c r="A14" s="2">
        <v>46162</v>
      </c>
      <c r="B14" s="17">
        <v>70</v>
      </c>
      <c r="C14" s="17">
        <v>0</v>
      </c>
      <c r="D14" s="17">
        <v>5</v>
      </c>
      <c r="E14" s="17">
        <v>75</v>
      </c>
      <c r="F14" s="17">
        <v>77</v>
      </c>
      <c r="G14" s="17">
        <v>1</v>
      </c>
      <c r="H14" s="17"/>
      <c r="I14" s="17"/>
    </row>
    <row r="15" spans="1:9">
      <c r="A15" s="2">
        <v>46163</v>
      </c>
      <c r="B15" s="17">
        <v>75</v>
      </c>
      <c r="C15" s="17">
        <v>0</v>
      </c>
      <c r="D15" s="17">
        <v>4</v>
      </c>
      <c r="E15" s="17">
        <v>79</v>
      </c>
      <c r="F15" s="17">
        <v>79</v>
      </c>
      <c r="G15" s="17">
        <v>1</v>
      </c>
      <c r="H15" s="17"/>
      <c r="I15" s="17"/>
    </row>
    <row r="16" spans="1:9">
      <c r="A16" s="2">
        <v>46164</v>
      </c>
      <c r="B16" s="17">
        <v>73</v>
      </c>
      <c r="C16" s="17">
        <v>0</v>
      </c>
      <c r="D16" s="17">
        <v>6</v>
      </c>
      <c r="E16" s="17">
        <v>79</v>
      </c>
      <c r="F16" s="17">
        <v>81</v>
      </c>
      <c r="G16" s="17">
        <v>1</v>
      </c>
      <c r="H16" s="17"/>
      <c r="I16" s="17"/>
    </row>
    <row r="17" spans="1:9">
      <c r="A17" s="2">
        <v>46167</v>
      </c>
      <c r="B17" s="17">
        <v>75</v>
      </c>
      <c r="C17" s="17">
        <v>0</v>
      </c>
      <c r="D17" s="17">
        <v>5</v>
      </c>
      <c r="E17" s="17">
        <v>80</v>
      </c>
      <c r="F17" s="17">
        <v>97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67</v>
      </c>
      <c r="C18" s="17">
        <v>24</v>
      </c>
      <c r="D18" s="17">
        <v>2</v>
      </c>
      <c r="E18" s="17">
        <v>93</v>
      </c>
      <c r="F18" s="17">
        <v>104</v>
      </c>
      <c r="G18" s="17">
        <v>4</v>
      </c>
      <c r="H18" s="17">
        <v>7</v>
      </c>
      <c r="I18" s="17"/>
    </row>
    <row r="19" spans="1:9">
      <c r="A19" s="2">
        <v>46169</v>
      </c>
      <c r="B19" s="17">
        <v>94</v>
      </c>
      <c r="C19" s="17">
        <v>0</v>
      </c>
      <c r="D19" s="17">
        <v>5</v>
      </c>
      <c r="E19" s="17">
        <v>99</v>
      </c>
      <c r="F19" s="17">
        <v>95</v>
      </c>
      <c r="G19" s="17">
        <v>1</v>
      </c>
      <c r="H19" s="17">
        <v>1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1236</v>
      </c>
      <c r="C22" s="12">
        <f t="shared" si="1"/>
        <v>24</v>
      </c>
      <c r="D22" s="12">
        <f t="shared" si="1"/>
        <v>92</v>
      </c>
      <c r="E22" s="12">
        <f t="shared" si="1"/>
        <v>1344</v>
      </c>
      <c r="F22" s="12">
        <f t="shared" si="1"/>
        <v>1521</v>
      </c>
      <c r="G22" s="12">
        <f t="shared" si="1"/>
        <v>25</v>
      </c>
      <c r="H22" s="12">
        <f t="shared" si="1"/>
        <v>21</v>
      </c>
      <c r="I22" s="12">
        <f t="shared" si="1"/>
        <v>0</v>
      </c>
    </row>
    <row r="23" spans="1:9">
      <c r="A23" s="39" t="s">
        <v>22</v>
      </c>
      <c r="B23" s="39"/>
      <c r="C23" s="5"/>
      <c r="D23" s="5"/>
      <c r="E23" s="5"/>
      <c r="F23" s="5"/>
      <c r="G23" s="6" t="s">
        <v>8</v>
      </c>
      <c r="H23" s="5"/>
    </row>
    <row r="24" spans="1:9">
      <c r="A24" s="39"/>
      <c r="B24" s="39"/>
      <c r="C24" s="7" t="s">
        <v>9</v>
      </c>
      <c r="D24" s="7">
        <f>B22</f>
        <v>1236</v>
      </c>
      <c r="E24" s="7">
        <v>10</v>
      </c>
      <c r="F24" s="7">
        <f>SUM(D24*E24)</f>
        <v>12360</v>
      </c>
      <c r="G24" s="40">
        <f>SUM(F24+F25)</f>
        <v>12537</v>
      </c>
      <c r="H24" s="8"/>
    </row>
    <row r="25" spans="1:9">
      <c r="A25" s="39"/>
      <c r="B25" s="39"/>
      <c r="C25" s="7" t="s">
        <v>10</v>
      </c>
      <c r="D25" s="7">
        <f>F22</f>
        <v>1521</v>
      </c>
      <c r="E25" s="7">
        <f>E22</f>
        <v>1344</v>
      </c>
      <c r="F25" s="7">
        <f>SUM(D25-E25)</f>
        <v>177</v>
      </c>
      <c r="G25" s="40"/>
      <c r="H25" s="8"/>
    </row>
    <row r="26" spans="1:9">
      <c r="A26" s="39"/>
      <c r="B26" s="39"/>
      <c r="C26" s="7" t="s">
        <v>11</v>
      </c>
      <c r="D26" s="7">
        <f>G22</f>
        <v>25</v>
      </c>
      <c r="E26" s="7">
        <v>15</v>
      </c>
      <c r="F26" s="7">
        <f>SUM(D26*E26)</f>
        <v>375</v>
      </c>
      <c r="G26" s="13">
        <f>SUM(F26+H22)</f>
        <v>396</v>
      </c>
      <c r="H26" s="8"/>
    </row>
    <row r="27" spans="1:9">
      <c r="A27" s="5"/>
      <c r="B27" s="5"/>
      <c r="C27" s="15"/>
      <c r="D27" s="15"/>
      <c r="E27" s="16"/>
      <c r="F27" s="7" t="s">
        <v>12</v>
      </c>
      <c r="G27" s="14">
        <f>SUM(G24+G26)</f>
        <v>12933</v>
      </c>
      <c r="H27" s="5"/>
    </row>
    <row r="28" spans="1:9">
      <c r="C28" s="10"/>
      <c r="E28" s="10"/>
    </row>
  </sheetData>
  <mergeCells count="2">
    <mergeCell ref="G24:G25"/>
    <mergeCell ref="A23:B26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I28"/>
  <sheetViews>
    <sheetView topLeftCell="A7" zoomScale="81" zoomScaleNormal="81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66</v>
      </c>
      <c r="C2" s="17">
        <v>0</v>
      </c>
      <c r="D2" s="17">
        <v>3</v>
      </c>
      <c r="E2" s="17">
        <v>69</v>
      </c>
      <c r="F2" s="17">
        <v>66</v>
      </c>
      <c r="G2" s="17">
        <v>0</v>
      </c>
      <c r="H2" s="17"/>
      <c r="I2" s="17"/>
    </row>
    <row r="3" spans="1:9">
      <c r="A3" s="2">
        <v>46147</v>
      </c>
      <c r="B3" s="17">
        <v>70</v>
      </c>
      <c r="C3" s="17">
        <v>0</v>
      </c>
      <c r="D3" s="17">
        <v>0</v>
      </c>
      <c r="E3" s="17">
        <v>70</v>
      </c>
      <c r="F3" s="17">
        <v>70</v>
      </c>
      <c r="G3" s="17">
        <v>0</v>
      </c>
      <c r="H3" s="17"/>
      <c r="I3" s="17"/>
    </row>
    <row r="4" spans="1:9" s="19" customFormat="1">
      <c r="A4" s="2">
        <v>46148</v>
      </c>
      <c r="B4" s="17">
        <v>80</v>
      </c>
      <c r="C4" s="17">
        <v>0</v>
      </c>
      <c r="D4" s="17">
        <v>5</v>
      </c>
      <c r="E4" s="17">
        <v>85</v>
      </c>
      <c r="F4" s="17">
        <v>80</v>
      </c>
      <c r="G4" s="17">
        <v>0</v>
      </c>
      <c r="H4" s="17"/>
      <c r="I4" s="17"/>
    </row>
    <row r="5" spans="1:9" s="19" customFormat="1">
      <c r="A5" s="2">
        <v>46149</v>
      </c>
      <c r="B5" s="17">
        <v>68</v>
      </c>
      <c r="C5" s="17">
        <v>0</v>
      </c>
      <c r="D5" s="17">
        <v>1</v>
      </c>
      <c r="E5" s="17">
        <v>69</v>
      </c>
      <c r="F5" s="17">
        <v>68</v>
      </c>
      <c r="G5" s="17">
        <v>0</v>
      </c>
      <c r="H5" s="17"/>
      <c r="I5" s="17"/>
    </row>
    <row r="6" spans="1:9">
      <c r="A6" s="2">
        <v>46150</v>
      </c>
      <c r="B6" s="17">
        <v>59</v>
      </c>
      <c r="C6" s="17">
        <v>0</v>
      </c>
      <c r="D6" s="17">
        <v>1</v>
      </c>
      <c r="E6" s="17">
        <v>60</v>
      </c>
      <c r="F6" s="17">
        <v>59</v>
      </c>
      <c r="G6" s="17">
        <v>0</v>
      </c>
      <c r="H6" s="17"/>
      <c r="I6" s="17"/>
    </row>
    <row r="7" spans="1:9">
      <c r="A7" s="2">
        <v>46153</v>
      </c>
      <c r="B7" s="17">
        <v>68</v>
      </c>
      <c r="C7" s="17">
        <v>0</v>
      </c>
      <c r="D7" s="17">
        <v>2</v>
      </c>
      <c r="E7" s="17">
        <v>70</v>
      </c>
      <c r="F7" s="17">
        <v>72</v>
      </c>
      <c r="G7" s="17">
        <v>0</v>
      </c>
      <c r="H7" s="17"/>
      <c r="I7" s="17"/>
    </row>
    <row r="8" spans="1:9">
      <c r="A8" s="2">
        <v>46154</v>
      </c>
      <c r="B8" s="17">
        <v>58</v>
      </c>
      <c r="C8" s="17">
        <v>0</v>
      </c>
      <c r="D8" s="17">
        <v>2</v>
      </c>
      <c r="E8" s="17">
        <v>60</v>
      </c>
      <c r="F8" s="17">
        <v>58</v>
      </c>
      <c r="G8" s="17">
        <v>0</v>
      </c>
      <c r="H8" s="17"/>
      <c r="I8" s="17"/>
    </row>
    <row r="9" spans="1:9">
      <c r="A9" s="2">
        <v>46155</v>
      </c>
      <c r="B9" s="17">
        <v>36</v>
      </c>
      <c r="C9" s="17">
        <v>0</v>
      </c>
      <c r="D9" s="17">
        <v>0</v>
      </c>
      <c r="E9" s="17">
        <v>36</v>
      </c>
      <c r="F9" s="17">
        <v>39</v>
      </c>
      <c r="G9" s="17">
        <v>0</v>
      </c>
      <c r="H9" s="17"/>
      <c r="I9" s="17"/>
    </row>
    <row r="10" spans="1:9">
      <c r="A10" s="2">
        <v>46156</v>
      </c>
      <c r="B10" s="17">
        <v>53</v>
      </c>
      <c r="C10" s="17">
        <v>0</v>
      </c>
      <c r="D10" s="17">
        <v>0</v>
      </c>
      <c r="E10" s="17">
        <v>53</v>
      </c>
      <c r="F10" s="17">
        <v>53</v>
      </c>
      <c r="G10" s="17">
        <v>0</v>
      </c>
      <c r="H10" s="17"/>
      <c r="I10" s="17"/>
    </row>
    <row r="11" spans="1:9">
      <c r="A11" s="2">
        <v>46157</v>
      </c>
      <c r="B11" s="17">
        <v>63</v>
      </c>
      <c r="C11" s="17">
        <v>0</v>
      </c>
      <c r="D11" s="17">
        <v>1</v>
      </c>
      <c r="E11" s="17">
        <v>64</v>
      </c>
      <c r="F11" s="17">
        <v>63</v>
      </c>
      <c r="G11" s="17">
        <v>0</v>
      </c>
      <c r="H11" s="17"/>
      <c r="I11" s="17"/>
    </row>
    <row r="12" spans="1:9">
      <c r="A12" s="2">
        <v>46160</v>
      </c>
      <c r="B12" s="17">
        <v>73</v>
      </c>
      <c r="C12" s="17">
        <v>0</v>
      </c>
      <c r="D12" s="17">
        <v>0</v>
      </c>
      <c r="E12" s="17">
        <v>73</v>
      </c>
      <c r="F12" s="17">
        <v>73</v>
      </c>
      <c r="G12" s="17">
        <v>0</v>
      </c>
      <c r="H12" s="17"/>
      <c r="I12" s="17"/>
    </row>
    <row r="13" spans="1:9">
      <c r="A13" s="2">
        <v>46161</v>
      </c>
      <c r="B13" s="17">
        <v>85</v>
      </c>
      <c r="C13" s="17">
        <v>0</v>
      </c>
      <c r="D13" s="17">
        <v>0</v>
      </c>
      <c r="E13" s="17">
        <v>85</v>
      </c>
      <c r="F13" s="17">
        <v>85</v>
      </c>
      <c r="G13" s="17">
        <v>0</v>
      </c>
      <c r="H13" s="17"/>
      <c r="I13" s="17"/>
    </row>
    <row r="14" spans="1:9">
      <c r="A14" s="2">
        <v>46162</v>
      </c>
      <c r="B14" s="17">
        <v>53</v>
      </c>
      <c r="C14" s="17">
        <v>0</v>
      </c>
      <c r="D14" s="17">
        <v>1</v>
      </c>
      <c r="E14" s="17">
        <v>54</v>
      </c>
      <c r="F14" s="17">
        <v>53</v>
      </c>
      <c r="G14" s="17">
        <v>0</v>
      </c>
      <c r="H14" s="17"/>
      <c r="I14" s="17"/>
    </row>
    <row r="15" spans="1:9">
      <c r="A15" s="2">
        <v>46163</v>
      </c>
      <c r="B15" s="17">
        <v>76</v>
      </c>
      <c r="C15" s="17">
        <v>0</v>
      </c>
      <c r="D15" s="17">
        <v>1</v>
      </c>
      <c r="E15" s="17">
        <v>77</v>
      </c>
      <c r="F15" s="17">
        <v>76</v>
      </c>
      <c r="G15" s="17">
        <v>0</v>
      </c>
      <c r="H15" s="17"/>
      <c r="I15" s="17"/>
    </row>
    <row r="16" spans="1:9">
      <c r="A16" s="2">
        <v>46164</v>
      </c>
      <c r="B16" s="17">
        <v>70</v>
      </c>
      <c r="C16" s="17">
        <v>0</v>
      </c>
      <c r="D16" s="17">
        <v>1</v>
      </c>
      <c r="E16" s="17">
        <v>71</v>
      </c>
      <c r="F16" s="17">
        <v>70</v>
      </c>
      <c r="G16" s="17">
        <v>1</v>
      </c>
      <c r="H16" s="17"/>
      <c r="I16" s="17"/>
    </row>
    <row r="17" spans="1:9">
      <c r="A17" s="2">
        <v>46167</v>
      </c>
      <c r="B17" s="17">
        <v>102</v>
      </c>
      <c r="C17" s="17">
        <v>0</v>
      </c>
      <c r="D17" s="17">
        <v>1</v>
      </c>
      <c r="E17" s="17">
        <v>103</v>
      </c>
      <c r="F17" s="17">
        <v>102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91</v>
      </c>
      <c r="C18" s="17">
        <v>0</v>
      </c>
      <c r="D18" s="17">
        <v>0</v>
      </c>
      <c r="E18" s="17">
        <v>91</v>
      </c>
      <c r="F18" s="17">
        <v>91</v>
      </c>
      <c r="G18" s="17">
        <v>0</v>
      </c>
      <c r="H18" s="17"/>
      <c r="I18" s="17"/>
    </row>
    <row r="19" spans="1:9">
      <c r="A19" s="2">
        <v>46169</v>
      </c>
      <c r="B19" s="17">
        <v>71</v>
      </c>
      <c r="C19" s="17">
        <v>0</v>
      </c>
      <c r="D19" s="17">
        <v>1</v>
      </c>
      <c r="E19" s="17">
        <v>72</v>
      </c>
      <c r="F19" s="17">
        <v>73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1242</v>
      </c>
      <c r="C22" s="12">
        <f t="shared" si="1"/>
        <v>0</v>
      </c>
      <c r="D22" s="12">
        <f t="shared" si="1"/>
        <v>20</v>
      </c>
      <c r="E22" s="12">
        <f t="shared" si="1"/>
        <v>1262</v>
      </c>
      <c r="F22" s="12">
        <f t="shared" si="1"/>
        <v>1251</v>
      </c>
      <c r="G22" s="12">
        <f t="shared" si="1"/>
        <v>1</v>
      </c>
      <c r="H22" s="12">
        <f t="shared" si="1"/>
        <v>0</v>
      </c>
      <c r="I22" s="12">
        <f t="shared" si="1"/>
        <v>0</v>
      </c>
    </row>
    <row r="23" spans="1:9">
      <c r="A23" s="39" t="s">
        <v>30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1242</v>
      </c>
      <c r="E24" s="7">
        <v>10</v>
      </c>
      <c r="F24" s="7">
        <f>SUM(D24*E24)</f>
        <v>12420</v>
      </c>
      <c r="G24" s="40">
        <f>SUM(F24+F25)</f>
        <v>12409</v>
      </c>
      <c r="H24" s="8"/>
    </row>
    <row r="25" spans="1:9">
      <c r="A25" s="39"/>
      <c r="B25" s="39"/>
      <c r="C25" s="7" t="s">
        <v>10</v>
      </c>
      <c r="D25" s="7">
        <f>F22</f>
        <v>1251</v>
      </c>
      <c r="E25" s="7">
        <f>E22</f>
        <v>1262</v>
      </c>
      <c r="F25" s="7">
        <f>SUM(D25-E25)</f>
        <v>-11</v>
      </c>
      <c r="G25" s="40"/>
      <c r="H25" s="8"/>
    </row>
    <row r="26" spans="1:9">
      <c r="A26" s="39"/>
      <c r="B26" s="39"/>
      <c r="C26" s="7" t="s">
        <v>11</v>
      </c>
      <c r="D26" s="7">
        <f>G22</f>
        <v>1</v>
      </c>
      <c r="E26" s="7">
        <v>15</v>
      </c>
      <c r="F26" s="7">
        <f>SUM(D26*E26)</f>
        <v>15</v>
      </c>
      <c r="G26" s="13">
        <f>SUM(F26+H22)</f>
        <v>15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12424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I28"/>
  <sheetViews>
    <sheetView zoomScale="83" zoomScaleNormal="83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100</v>
      </c>
      <c r="C2" s="17">
        <v>14</v>
      </c>
      <c r="D2" s="17">
        <v>0</v>
      </c>
      <c r="E2" s="17">
        <v>114</v>
      </c>
      <c r="F2" s="17">
        <v>112</v>
      </c>
      <c r="G2" s="17">
        <v>4</v>
      </c>
      <c r="H2" s="17">
        <v>5</v>
      </c>
      <c r="I2" s="17"/>
    </row>
    <row r="3" spans="1:9">
      <c r="A3" s="2">
        <v>46147</v>
      </c>
      <c r="B3" s="17">
        <v>112</v>
      </c>
      <c r="C3" s="17">
        <v>1</v>
      </c>
      <c r="D3" s="17">
        <v>2</v>
      </c>
      <c r="E3" s="17">
        <v>115</v>
      </c>
      <c r="F3" s="17">
        <v>122</v>
      </c>
      <c r="G3" s="17">
        <v>3</v>
      </c>
      <c r="H3" s="17"/>
      <c r="I3" s="17"/>
    </row>
    <row r="4" spans="1:9" s="19" customFormat="1">
      <c r="A4" s="2">
        <v>46148</v>
      </c>
      <c r="B4" s="17">
        <v>64</v>
      </c>
      <c r="C4" s="17">
        <v>0</v>
      </c>
      <c r="D4" s="17">
        <v>1</v>
      </c>
      <c r="E4" s="17">
        <v>65</v>
      </c>
      <c r="F4" s="17">
        <v>80</v>
      </c>
      <c r="G4" s="17">
        <v>2</v>
      </c>
      <c r="H4" s="17"/>
      <c r="I4" s="17"/>
    </row>
    <row r="5" spans="1:9" s="19" customFormat="1">
      <c r="A5" s="2">
        <v>46149</v>
      </c>
      <c r="B5" s="17">
        <v>51</v>
      </c>
      <c r="C5" s="17">
        <v>0</v>
      </c>
      <c r="D5" s="17">
        <v>1</v>
      </c>
      <c r="E5" s="17">
        <v>52</v>
      </c>
      <c r="F5" s="17">
        <v>51</v>
      </c>
      <c r="G5" s="17">
        <v>3</v>
      </c>
      <c r="H5" s="17"/>
      <c r="I5" s="17"/>
    </row>
    <row r="6" spans="1:9">
      <c r="A6" s="2">
        <v>46150</v>
      </c>
      <c r="B6" s="17">
        <v>75</v>
      </c>
      <c r="C6" s="17">
        <v>0</v>
      </c>
      <c r="D6" s="17">
        <v>1</v>
      </c>
      <c r="E6" s="17">
        <v>76</v>
      </c>
      <c r="F6" s="17">
        <v>94</v>
      </c>
      <c r="G6" s="17">
        <v>1</v>
      </c>
      <c r="H6" s="17"/>
      <c r="I6" s="17"/>
    </row>
    <row r="7" spans="1:9">
      <c r="A7" s="2">
        <v>46153</v>
      </c>
      <c r="B7" s="17">
        <v>95</v>
      </c>
      <c r="C7" s="17">
        <v>1</v>
      </c>
      <c r="D7" s="17">
        <v>0</v>
      </c>
      <c r="E7" s="17">
        <v>96</v>
      </c>
      <c r="F7" s="17">
        <v>99</v>
      </c>
      <c r="G7" s="17">
        <v>0</v>
      </c>
      <c r="H7" s="17"/>
      <c r="I7" s="17"/>
    </row>
    <row r="8" spans="1:9">
      <c r="A8" s="2">
        <v>46154</v>
      </c>
      <c r="B8" s="17">
        <v>87</v>
      </c>
      <c r="C8" s="17">
        <v>2</v>
      </c>
      <c r="D8" s="17">
        <v>2</v>
      </c>
      <c r="E8" s="17">
        <v>91</v>
      </c>
      <c r="F8" s="17">
        <v>88</v>
      </c>
      <c r="G8" s="17">
        <v>2</v>
      </c>
      <c r="H8" s="17">
        <v>5</v>
      </c>
      <c r="I8" s="17"/>
    </row>
    <row r="9" spans="1:9">
      <c r="A9" s="2">
        <v>46155</v>
      </c>
      <c r="B9" s="17">
        <v>46</v>
      </c>
      <c r="C9" s="17">
        <v>0</v>
      </c>
      <c r="D9" s="17">
        <v>0</v>
      </c>
      <c r="E9" s="17">
        <v>46</v>
      </c>
      <c r="F9" s="17">
        <v>88</v>
      </c>
      <c r="G9" s="17">
        <v>2</v>
      </c>
      <c r="H9" s="17">
        <v>4</v>
      </c>
      <c r="I9" s="17"/>
    </row>
    <row r="10" spans="1:9">
      <c r="A10" s="2">
        <v>46156</v>
      </c>
      <c r="B10" s="17">
        <v>60</v>
      </c>
      <c r="C10" s="17">
        <v>0</v>
      </c>
      <c r="D10" s="17">
        <v>0</v>
      </c>
      <c r="E10" s="17">
        <v>60</v>
      </c>
      <c r="F10" s="17">
        <v>64</v>
      </c>
      <c r="G10" s="17">
        <v>2</v>
      </c>
      <c r="H10" s="17"/>
      <c r="I10" s="17"/>
    </row>
    <row r="11" spans="1:9">
      <c r="A11" s="2">
        <v>46157</v>
      </c>
      <c r="B11" s="17">
        <v>70</v>
      </c>
      <c r="C11" s="17">
        <v>0</v>
      </c>
      <c r="D11" s="17">
        <v>0</v>
      </c>
      <c r="E11" s="17">
        <v>70</v>
      </c>
      <c r="F11" s="17">
        <v>88</v>
      </c>
      <c r="G11" s="17">
        <v>2</v>
      </c>
      <c r="H11" s="17"/>
      <c r="I11" s="17"/>
    </row>
    <row r="12" spans="1:9">
      <c r="A12" s="2">
        <v>46160</v>
      </c>
      <c r="B12" s="17">
        <v>109</v>
      </c>
      <c r="C12" s="17">
        <v>6</v>
      </c>
      <c r="D12" s="17">
        <v>0</v>
      </c>
      <c r="E12" s="17">
        <v>115</v>
      </c>
      <c r="F12" s="17">
        <v>122</v>
      </c>
      <c r="G12" s="17">
        <v>1</v>
      </c>
      <c r="H12" s="17"/>
      <c r="I12" s="17"/>
    </row>
    <row r="13" spans="1:9">
      <c r="A13" s="2">
        <v>46161</v>
      </c>
      <c r="B13" s="17">
        <v>92</v>
      </c>
      <c r="C13" s="17">
        <v>0</v>
      </c>
      <c r="D13" s="17">
        <v>1</v>
      </c>
      <c r="E13" s="17">
        <v>93</v>
      </c>
      <c r="F13" s="17">
        <v>102</v>
      </c>
      <c r="G13" s="17">
        <v>1</v>
      </c>
      <c r="H13" s="17"/>
      <c r="I13" s="17"/>
    </row>
    <row r="14" spans="1:9">
      <c r="A14" s="2">
        <v>46162</v>
      </c>
      <c r="B14" s="17">
        <v>70</v>
      </c>
      <c r="C14" s="17">
        <v>0</v>
      </c>
      <c r="D14" s="17">
        <v>0</v>
      </c>
      <c r="E14" s="17">
        <v>70</v>
      </c>
      <c r="F14" s="17">
        <v>75</v>
      </c>
      <c r="G14" s="17">
        <v>2</v>
      </c>
      <c r="H14" s="17">
        <v>3</v>
      </c>
      <c r="I14" s="17"/>
    </row>
    <row r="15" spans="1:9">
      <c r="A15" s="2">
        <v>46163</v>
      </c>
      <c r="B15" s="17">
        <v>78</v>
      </c>
      <c r="C15" s="17">
        <v>0</v>
      </c>
      <c r="D15" s="17">
        <v>0</v>
      </c>
      <c r="E15" s="17">
        <v>78</v>
      </c>
      <c r="F15" s="17">
        <v>82</v>
      </c>
      <c r="G15" s="17">
        <v>0</v>
      </c>
      <c r="H15" s="17"/>
      <c r="I15" s="17"/>
    </row>
    <row r="16" spans="1:9">
      <c r="A16" s="2">
        <v>46164</v>
      </c>
      <c r="B16" s="17">
        <v>81</v>
      </c>
      <c r="C16" s="17">
        <v>3</v>
      </c>
      <c r="D16" s="17">
        <v>2</v>
      </c>
      <c r="E16" s="17">
        <v>86</v>
      </c>
      <c r="F16" s="17">
        <v>100</v>
      </c>
      <c r="G16" s="17">
        <v>0</v>
      </c>
      <c r="H16" s="17"/>
      <c r="I16" s="17"/>
    </row>
    <row r="17" spans="1:9">
      <c r="A17" s="2">
        <v>46167</v>
      </c>
      <c r="B17" s="17">
        <v>107</v>
      </c>
      <c r="C17" s="17">
        <v>8</v>
      </c>
      <c r="D17" s="17">
        <v>0</v>
      </c>
      <c r="E17" s="17">
        <v>115</v>
      </c>
      <c r="F17" s="17">
        <v>122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117</v>
      </c>
      <c r="C18" s="17">
        <v>2</v>
      </c>
      <c r="D18" s="17">
        <v>0</v>
      </c>
      <c r="E18" s="17">
        <v>119</v>
      </c>
      <c r="F18" s="17">
        <v>140</v>
      </c>
      <c r="G18" s="17">
        <v>2</v>
      </c>
      <c r="H18" s="17">
        <v>9</v>
      </c>
      <c r="I18" s="17"/>
    </row>
    <row r="19" spans="1:9">
      <c r="A19" s="2">
        <v>46169</v>
      </c>
      <c r="B19" s="17">
        <v>82</v>
      </c>
      <c r="C19" s="17">
        <v>0</v>
      </c>
      <c r="D19" s="17">
        <v>0</v>
      </c>
      <c r="E19" s="17">
        <v>82</v>
      </c>
      <c r="F19" s="17">
        <v>116</v>
      </c>
      <c r="G19" s="17">
        <v>2</v>
      </c>
      <c r="H19" s="17">
        <v>5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1496</v>
      </c>
      <c r="C22" s="12">
        <f t="shared" si="1"/>
        <v>37</v>
      </c>
      <c r="D22" s="12">
        <f t="shared" si="1"/>
        <v>10</v>
      </c>
      <c r="E22" s="12">
        <f t="shared" si="1"/>
        <v>1543</v>
      </c>
      <c r="F22" s="12">
        <f t="shared" si="1"/>
        <v>1745</v>
      </c>
      <c r="G22" s="12">
        <f t="shared" si="1"/>
        <v>29</v>
      </c>
      <c r="H22" s="12">
        <f t="shared" si="1"/>
        <v>31</v>
      </c>
      <c r="I22" s="12">
        <f t="shared" si="1"/>
        <v>0</v>
      </c>
    </row>
    <row r="23" spans="1:9">
      <c r="A23" s="39" t="s">
        <v>23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1496</v>
      </c>
      <c r="E24" s="7">
        <v>10</v>
      </c>
      <c r="F24" s="7">
        <f>SUM(D24*E24)</f>
        <v>14960</v>
      </c>
      <c r="G24" s="40">
        <f>SUM(F24+F25)</f>
        <v>15162</v>
      </c>
      <c r="H24" s="8"/>
    </row>
    <row r="25" spans="1:9">
      <c r="A25" s="39"/>
      <c r="B25" s="39"/>
      <c r="C25" s="7" t="s">
        <v>10</v>
      </c>
      <c r="D25" s="7">
        <f>F22</f>
        <v>1745</v>
      </c>
      <c r="E25" s="7">
        <f>E22</f>
        <v>1543</v>
      </c>
      <c r="F25" s="7">
        <f>SUM(D25-E25)</f>
        <v>202</v>
      </c>
      <c r="G25" s="40"/>
      <c r="H25" s="8"/>
    </row>
    <row r="26" spans="1:9">
      <c r="A26" s="39"/>
      <c r="B26" s="39"/>
      <c r="C26" s="7" t="s">
        <v>11</v>
      </c>
      <c r="D26" s="7">
        <f>G22</f>
        <v>29</v>
      </c>
      <c r="E26" s="7">
        <v>15</v>
      </c>
      <c r="F26" s="7">
        <f>SUM(D26*E26)</f>
        <v>435</v>
      </c>
      <c r="G26" s="13">
        <f>SUM(F26+H22)</f>
        <v>466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15628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I28"/>
  <sheetViews>
    <sheetView zoomScale="81" zoomScaleNormal="81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116</v>
      </c>
      <c r="C2" s="17">
        <v>0</v>
      </c>
      <c r="D2" s="17">
        <v>1</v>
      </c>
      <c r="E2" s="17">
        <v>117</v>
      </c>
      <c r="F2" s="17">
        <v>117</v>
      </c>
      <c r="G2" s="17">
        <v>1</v>
      </c>
      <c r="H2" s="17"/>
      <c r="I2" s="17"/>
    </row>
    <row r="3" spans="1:9">
      <c r="A3" s="2">
        <v>46147</v>
      </c>
      <c r="B3" s="17">
        <v>86</v>
      </c>
      <c r="C3" s="17">
        <v>0</v>
      </c>
      <c r="D3" s="17">
        <v>1</v>
      </c>
      <c r="E3" s="17">
        <v>87</v>
      </c>
      <c r="F3" s="17">
        <v>86</v>
      </c>
      <c r="G3" s="17">
        <v>1</v>
      </c>
      <c r="H3" s="17"/>
      <c r="I3" s="17"/>
    </row>
    <row r="4" spans="1:9" s="19" customFormat="1">
      <c r="A4" s="2">
        <v>46148</v>
      </c>
      <c r="B4" s="17">
        <v>76</v>
      </c>
      <c r="C4" s="17">
        <v>0</v>
      </c>
      <c r="D4" s="17">
        <v>1</v>
      </c>
      <c r="E4" s="17">
        <v>77</v>
      </c>
      <c r="F4" s="17">
        <v>77</v>
      </c>
      <c r="G4" s="17">
        <v>0</v>
      </c>
      <c r="H4" s="17"/>
      <c r="I4" s="17"/>
    </row>
    <row r="5" spans="1:9" s="19" customFormat="1">
      <c r="A5" s="2">
        <v>46149</v>
      </c>
      <c r="B5" s="17">
        <v>91</v>
      </c>
      <c r="C5" s="17">
        <v>0</v>
      </c>
      <c r="D5" s="17">
        <v>2</v>
      </c>
      <c r="E5" s="17">
        <v>93</v>
      </c>
      <c r="F5" s="17">
        <v>95</v>
      </c>
      <c r="G5" s="17">
        <v>2</v>
      </c>
      <c r="H5" s="17"/>
      <c r="I5" s="17"/>
    </row>
    <row r="6" spans="1:9">
      <c r="A6" s="2">
        <v>46150</v>
      </c>
      <c r="B6" s="17">
        <v>65</v>
      </c>
      <c r="C6" s="17">
        <v>0</v>
      </c>
      <c r="D6" s="17">
        <v>0</v>
      </c>
      <c r="E6" s="17">
        <v>65</v>
      </c>
      <c r="F6" s="17">
        <v>69</v>
      </c>
      <c r="G6" s="17">
        <v>0</v>
      </c>
      <c r="H6" s="17"/>
      <c r="I6" s="17"/>
    </row>
    <row r="7" spans="1:9">
      <c r="A7" s="2">
        <v>46153</v>
      </c>
      <c r="B7" s="17">
        <v>104</v>
      </c>
      <c r="C7" s="17">
        <v>0</v>
      </c>
      <c r="D7" s="17">
        <v>0</v>
      </c>
      <c r="E7" s="17">
        <v>104</v>
      </c>
      <c r="F7" s="17">
        <v>106</v>
      </c>
      <c r="G7" s="17">
        <v>2</v>
      </c>
      <c r="H7" s="17"/>
      <c r="I7" s="17"/>
    </row>
    <row r="8" spans="1:9">
      <c r="A8" s="2">
        <v>46154</v>
      </c>
      <c r="B8" s="17">
        <v>87</v>
      </c>
      <c r="C8" s="17">
        <v>0</v>
      </c>
      <c r="D8" s="17">
        <v>1</v>
      </c>
      <c r="E8" s="17">
        <v>88</v>
      </c>
      <c r="F8" s="17">
        <v>88</v>
      </c>
      <c r="G8" s="17">
        <v>2</v>
      </c>
      <c r="H8" s="17"/>
      <c r="I8" s="17"/>
    </row>
    <row r="9" spans="1:9">
      <c r="A9" s="2">
        <v>46155</v>
      </c>
      <c r="B9" s="17">
        <v>52</v>
      </c>
      <c r="C9" s="17">
        <v>0</v>
      </c>
      <c r="D9" s="17">
        <v>1</v>
      </c>
      <c r="E9" s="17">
        <v>53</v>
      </c>
      <c r="F9" s="17">
        <v>53</v>
      </c>
      <c r="G9" s="17">
        <v>1</v>
      </c>
      <c r="H9" s="17"/>
      <c r="I9" s="17"/>
    </row>
    <row r="10" spans="1:9">
      <c r="A10" s="2">
        <v>46156</v>
      </c>
      <c r="B10" s="17">
        <v>67</v>
      </c>
      <c r="C10" s="17">
        <v>0</v>
      </c>
      <c r="D10" s="17">
        <v>0</v>
      </c>
      <c r="E10" s="17">
        <v>67</v>
      </c>
      <c r="F10" s="17">
        <v>67</v>
      </c>
      <c r="G10" s="17">
        <v>0</v>
      </c>
      <c r="H10" s="17"/>
      <c r="I10" s="17"/>
    </row>
    <row r="11" spans="1:9">
      <c r="A11" s="2">
        <v>46157</v>
      </c>
      <c r="B11" s="17">
        <v>82</v>
      </c>
      <c r="C11" s="17">
        <v>0</v>
      </c>
      <c r="D11" s="17">
        <v>0</v>
      </c>
      <c r="E11" s="17">
        <v>82</v>
      </c>
      <c r="F11" s="17">
        <v>87</v>
      </c>
      <c r="G11" s="17">
        <v>1</v>
      </c>
      <c r="H11" s="17"/>
      <c r="I11" s="17"/>
    </row>
    <row r="12" spans="1:9">
      <c r="A12" s="2">
        <v>46160</v>
      </c>
      <c r="B12" s="17">
        <v>121</v>
      </c>
      <c r="C12" s="17">
        <v>0</v>
      </c>
      <c r="D12" s="17">
        <v>1</v>
      </c>
      <c r="E12" s="17">
        <v>122</v>
      </c>
      <c r="F12" s="17">
        <v>121</v>
      </c>
      <c r="G12" s="17">
        <v>1</v>
      </c>
      <c r="H12" s="17">
        <v>3</v>
      </c>
      <c r="I12" s="17"/>
    </row>
    <row r="13" spans="1:9">
      <c r="A13" s="2">
        <v>46161</v>
      </c>
      <c r="B13" s="17">
        <v>88</v>
      </c>
      <c r="C13" s="17">
        <v>0</v>
      </c>
      <c r="D13" s="17">
        <v>0</v>
      </c>
      <c r="E13" s="17">
        <v>88</v>
      </c>
      <c r="F13" s="17">
        <v>88</v>
      </c>
      <c r="G13" s="17">
        <v>0</v>
      </c>
      <c r="H13" s="17"/>
      <c r="I13" s="17"/>
    </row>
    <row r="14" spans="1:9">
      <c r="A14" s="2">
        <v>46162</v>
      </c>
      <c r="B14" s="17">
        <v>61</v>
      </c>
      <c r="C14" s="17">
        <v>0</v>
      </c>
      <c r="D14" s="17">
        <v>2</v>
      </c>
      <c r="E14" s="17">
        <v>63</v>
      </c>
      <c r="F14" s="17">
        <v>61</v>
      </c>
      <c r="G14" s="17">
        <v>2</v>
      </c>
      <c r="H14" s="17">
        <v>12</v>
      </c>
      <c r="I14" s="17"/>
    </row>
    <row r="15" spans="1:9">
      <c r="A15" s="2">
        <v>46163</v>
      </c>
      <c r="B15" s="17">
        <v>99</v>
      </c>
      <c r="C15" s="17">
        <v>0</v>
      </c>
      <c r="D15" s="17">
        <v>1</v>
      </c>
      <c r="E15" s="17">
        <v>100</v>
      </c>
      <c r="F15" s="17">
        <v>99</v>
      </c>
      <c r="G15" s="17">
        <v>2</v>
      </c>
      <c r="H15" s="17"/>
      <c r="I15" s="17"/>
    </row>
    <row r="16" spans="1:9">
      <c r="A16" s="2">
        <v>46164</v>
      </c>
      <c r="B16" s="17">
        <v>88</v>
      </c>
      <c r="C16" s="17">
        <v>0</v>
      </c>
      <c r="D16" s="17">
        <v>0</v>
      </c>
      <c r="E16" s="17">
        <v>88</v>
      </c>
      <c r="F16" s="17">
        <v>91</v>
      </c>
      <c r="G16" s="17">
        <v>2</v>
      </c>
      <c r="H16" s="17"/>
      <c r="I16" s="17"/>
    </row>
    <row r="17" spans="1:9">
      <c r="A17" s="2">
        <v>46167</v>
      </c>
      <c r="B17" s="17">
        <v>140</v>
      </c>
      <c r="C17" s="17">
        <v>0</v>
      </c>
      <c r="D17" s="17">
        <v>0</v>
      </c>
      <c r="E17" s="17">
        <v>140</v>
      </c>
      <c r="F17" s="17">
        <v>141</v>
      </c>
      <c r="G17" s="17">
        <v>1</v>
      </c>
      <c r="H17" s="17">
        <v>1</v>
      </c>
      <c r="I17" s="17"/>
    </row>
    <row r="18" spans="1:9">
      <c r="A18" s="2">
        <v>46168</v>
      </c>
      <c r="B18" s="17">
        <v>83</v>
      </c>
      <c r="C18" s="17">
        <v>0</v>
      </c>
      <c r="D18" s="17">
        <v>0</v>
      </c>
      <c r="E18" s="17">
        <v>83</v>
      </c>
      <c r="F18" s="17">
        <v>87</v>
      </c>
      <c r="G18" s="17">
        <v>0</v>
      </c>
      <c r="H18" s="17"/>
      <c r="I18" s="17"/>
    </row>
    <row r="19" spans="1:9">
      <c r="A19" s="2">
        <v>46169</v>
      </c>
      <c r="B19" s="17">
        <v>98</v>
      </c>
      <c r="C19" s="17">
        <v>0</v>
      </c>
      <c r="D19" s="17">
        <v>0</v>
      </c>
      <c r="E19" s="17">
        <v>98</v>
      </c>
      <c r="F19" s="17">
        <v>102</v>
      </c>
      <c r="G19" s="17">
        <v>2</v>
      </c>
      <c r="H19" s="17">
        <v>7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1604</v>
      </c>
      <c r="C22" s="12">
        <f t="shared" si="1"/>
        <v>0</v>
      </c>
      <c r="D22" s="12">
        <f t="shared" si="1"/>
        <v>11</v>
      </c>
      <c r="E22" s="12">
        <f t="shared" si="1"/>
        <v>1615</v>
      </c>
      <c r="F22" s="12">
        <f t="shared" si="1"/>
        <v>1635</v>
      </c>
      <c r="G22" s="12">
        <f t="shared" si="1"/>
        <v>20</v>
      </c>
      <c r="H22" s="12">
        <f t="shared" si="1"/>
        <v>23</v>
      </c>
      <c r="I22" s="12">
        <f t="shared" si="1"/>
        <v>0</v>
      </c>
    </row>
    <row r="23" spans="1:9">
      <c r="A23" s="39" t="s">
        <v>26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1604</v>
      </c>
      <c r="E24" s="7">
        <v>10</v>
      </c>
      <c r="F24" s="7">
        <f>SUM(D24*E24)</f>
        <v>16040</v>
      </c>
      <c r="G24" s="40">
        <f>SUM(F24+F25)</f>
        <v>16060</v>
      </c>
      <c r="H24" s="8"/>
    </row>
    <row r="25" spans="1:9">
      <c r="A25" s="39"/>
      <c r="B25" s="39"/>
      <c r="C25" s="7" t="s">
        <v>10</v>
      </c>
      <c r="D25" s="7">
        <f>F22</f>
        <v>1635</v>
      </c>
      <c r="E25" s="7">
        <f>E22</f>
        <v>1615</v>
      </c>
      <c r="F25" s="7">
        <f>SUM(D25-E25)</f>
        <v>20</v>
      </c>
      <c r="G25" s="40"/>
      <c r="H25" s="8"/>
    </row>
    <row r="26" spans="1:9">
      <c r="A26" s="39"/>
      <c r="B26" s="39"/>
      <c r="C26" s="7" t="s">
        <v>11</v>
      </c>
      <c r="D26" s="7">
        <f>G22</f>
        <v>20</v>
      </c>
      <c r="E26" s="7">
        <v>15</v>
      </c>
      <c r="F26" s="7">
        <f>SUM(D26*E26)</f>
        <v>300</v>
      </c>
      <c r="G26" s="13">
        <f>SUM(F26+H22)</f>
        <v>323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16383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O28"/>
  <sheetViews>
    <sheetView zoomScale="78" zoomScaleNormal="78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75</v>
      </c>
      <c r="C2" s="17">
        <v>0</v>
      </c>
      <c r="D2" s="17">
        <v>1</v>
      </c>
      <c r="E2" s="17">
        <v>76</v>
      </c>
      <c r="F2" s="17">
        <v>120</v>
      </c>
      <c r="G2" s="17">
        <v>3</v>
      </c>
      <c r="H2" s="17"/>
      <c r="I2" s="17"/>
    </row>
    <row r="3" spans="1:9">
      <c r="A3" s="2">
        <v>46147</v>
      </c>
      <c r="B3" s="17">
        <v>60</v>
      </c>
      <c r="C3" s="17">
        <v>0</v>
      </c>
      <c r="D3" s="17">
        <v>0</v>
      </c>
      <c r="E3" s="17">
        <v>60</v>
      </c>
      <c r="F3" s="17">
        <v>93</v>
      </c>
      <c r="G3" s="17">
        <v>1</v>
      </c>
      <c r="H3" s="17"/>
      <c r="I3" s="17"/>
    </row>
    <row r="4" spans="1:9" s="19" customFormat="1">
      <c r="A4" s="2">
        <v>46148</v>
      </c>
      <c r="B4" s="17">
        <v>63</v>
      </c>
      <c r="C4" s="17">
        <v>0</v>
      </c>
      <c r="D4" s="17">
        <v>0</v>
      </c>
      <c r="E4" s="17">
        <v>63</v>
      </c>
      <c r="F4" s="17">
        <v>80</v>
      </c>
      <c r="G4" s="17">
        <v>0</v>
      </c>
      <c r="H4" s="17"/>
      <c r="I4" s="17"/>
    </row>
    <row r="5" spans="1:9" s="19" customFormat="1">
      <c r="A5" s="2">
        <v>46149</v>
      </c>
      <c r="B5" s="17">
        <v>57</v>
      </c>
      <c r="C5" s="17">
        <v>0</v>
      </c>
      <c r="D5" s="17">
        <v>0</v>
      </c>
      <c r="E5" s="17">
        <v>57</v>
      </c>
      <c r="F5" s="17">
        <v>79</v>
      </c>
      <c r="G5" s="17">
        <v>1</v>
      </c>
      <c r="H5" s="17"/>
      <c r="I5" s="17"/>
    </row>
    <row r="6" spans="1:9">
      <c r="A6" s="2">
        <v>46150</v>
      </c>
      <c r="B6" s="17">
        <v>72</v>
      </c>
      <c r="C6" s="17">
        <v>0</v>
      </c>
      <c r="D6" s="17">
        <v>1</v>
      </c>
      <c r="E6" s="17">
        <v>73</v>
      </c>
      <c r="F6" s="17">
        <v>127</v>
      </c>
      <c r="G6" s="17">
        <v>1</v>
      </c>
      <c r="H6" s="17"/>
      <c r="I6" s="17"/>
    </row>
    <row r="7" spans="1:9">
      <c r="A7" s="2">
        <v>46153</v>
      </c>
      <c r="B7" s="17">
        <v>80</v>
      </c>
      <c r="C7" s="17">
        <v>0</v>
      </c>
      <c r="D7" s="17">
        <v>0</v>
      </c>
      <c r="E7" s="17">
        <v>80</v>
      </c>
      <c r="F7" s="17">
        <v>107</v>
      </c>
      <c r="G7" s="17">
        <v>0</v>
      </c>
      <c r="H7" s="17"/>
      <c r="I7" s="17"/>
    </row>
    <row r="8" spans="1:9">
      <c r="A8" s="2">
        <v>46154</v>
      </c>
      <c r="B8" s="17">
        <v>61</v>
      </c>
      <c r="C8" s="17">
        <v>0</v>
      </c>
      <c r="D8" s="17">
        <v>0</v>
      </c>
      <c r="E8" s="17">
        <v>61</v>
      </c>
      <c r="F8" s="17">
        <v>90</v>
      </c>
      <c r="G8" s="17">
        <v>0</v>
      </c>
      <c r="H8" s="17"/>
      <c r="I8" s="17"/>
    </row>
    <row r="9" spans="1:9">
      <c r="A9" s="2">
        <v>46155</v>
      </c>
      <c r="B9" s="17">
        <v>50</v>
      </c>
      <c r="C9" s="17">
        <v>0</v>
      </c>
      <c r="D9" s="17">
        <v>0</v>
      </c>
      <c r="E9" s="17">
        <v>50</v>
      </c>
      <c r="F9" s="17">
        <v>67</v>
      </c>
      <c r="G9" s="17">
        <v>0</v>
      </c>
      <c r="H9" s="17"/>
      <c r="I9" s="17"/>
    </row>
    <row r="10" spans="1:9">
      <c r="A10" s="2">
        <v>46156</v>
      </c>
      <c r="B10" s="17">
        <v>47</v>
      </c>
      <c r="C10" s="17">
        <v>0</v>
      </c>
      <c r="D10" s="17">
        <v>1</v>
      </c>
      <c r="E10" s="17">
        <v>48</v>
      </c>
      <c r="F10" s="17">
        <v>51</v>
      </c>
      <c r="G10" s="17">
        <v>0</v>
      </c>
      <c r="H10" s="17"/>
      <c r="I10" s="17"/>
    </row>
    <row r="11" spans="1:9">
      <c r="A11" s="2">
        <v>46157</v>
      </c>
      <c r="B11" s="17">
        <v>73</v>
      </c>
      <c r="C11" s="17">
        <v>0</v>
      </c>
      <c r="D11" s="17"/>
      <c r="E11" s="17">
        <v>73</v>
      </c>
      <c r="F11" s="17">
        <v>157</v>
      </c>
      <c r="G11" s="17">
        <v>1</v>
      </c>
      <c r="H11" s="17">
        <v>5</v>
      </c>
      <c r="I11" s="17"/>
    </row>
    <row r="12" spans="1:9">
      <c r="A12" s="2">
        <v>46160</v>
      </c>
      <c r="B12" s="17">
        <v>77</v>
      </c>
      <c r="C12" s="17">
        <v>0</v>
      </c>
      <c r="D12" s="17">
        <v>0</v>
      </c>
      <c r="E12" s="17">
        <v>77</v>
      </c>
      <c r="F12" s="17">
        <v>113</v>
      </c>
      <c r="G12" s="17">
        <v>0</v>
      </c>
      <c r="H12" s="17"/>
      <c r="I12" s="17"/>
    </row>
    <row r="13" spans="1:9">
      <c r="A13" s="2">
        <v>46161</v>
      </c>
      <c r="B13" s="17">
        <v>51</v>
      </c>
      <c r="C13" s="17">
        <v>0</v>
      </c>
      <c r="D13" s="17">
        <v>0</v>
      </c>
      <c r="E13" s="17">
        <v>51</v>
      </c>
      <c r="F13" s="17">
        <v>73</v>
      </c>
      <c r="G13" s="17"/>
      <c r="H13" s="17"/>
      <c r="I13" s="17"/>
    </row>
    <row r="14" spans="1:9">
      <c r="A14" s="2">
        <v>46162</v>
      </c>
      <c r="B14" s="17">
        <v>58</v>
      </c>
      <c r="C14" s="17">
        <v>0</v>
      </c>
      <c r="D14" s="17">
        <v>0</v>
      </c>
      <c r="E14" s="17">
        <v>58</v>
      </c>
      <c r="F14" s="17">
        <v>58</v>
      </c>
      <c r="G14" s="17">
        <v>0</v>
      </c>
      <c r="H14" s="17"/>
      <c r="I14" s="17"/>
    </row>
    <row r="15" spans="1:9">
      <c r="A15" s="2">
        <v>46163</v>
      </c>
      <c r="B15" s="17">
        <v>63</v>
      </c>
      <c r="C15" s="17">
        <v>0</v>
      </c>
      <c r="D15" s="17">
        <v>0</v>
      </c>
      <c r="E15" s="17">
        <v>63</v>
      </c>
      <c r="F15" s="17">
        <v>139</v>
      </c>
      <c r="G15" s="17">
        <v>0</v>
      </c>
      <c r="H15" s="17"/>
      <c r="I15" s="17"/>
    </row>
    <row r="16" spans="1:9">
      <c r="A16" s="2">
        <v>46164</v>
      </c>
      <c r="B16" s="29"/>
      <c r="C16" s="29"/>
      <c r="D16" s="29"/>
      <c r="E16" s="29">
        <v>0</v>
      </c>
      <c r="F16" s="29"/>
      <c r="G16" s="29"/>
      <c r="H16" s="29"/>
      <c r="I16" s="29"/>
    </row>
    <row r="17" spans="1:15">
      <c r="A17" s="2">
        <v>46167</v>
      </c>
      <c r="B17" s="17">
        <v>82</v>
      </c>
      <c r="C17" s="17">
        <v>0</v>
      </c>
      <c r="D17" s="17">
        <v>1</v>
      </c>
      <c r="E17" s="17">
        <v>83</v>
      </c>
      <c r="F17" s="17">
        <v>103</v>
      </c>
      <c r="G17" s="17">
        <v>1</v>
      </c>
      <c r="H17" s="17">
        <v>6</v>
      </c>
      <c r="I17" s="17"/>
    </row>
    <row r="18" spans="1:15">
      <c r="A18" s="2">
        <v>46168</v>
      </c>
      <c r="B18" s="17">
        <v>68</v>
      </c>
      <c r="C18" s="17">
        <v>0</v>
      </c>
      <c r="D18" s="17">
        <v>3</v>
      </c>
      <c r="E18" s="17">
        <v>71</v>
      </c>
      <c r="F18" s="17">
        <v>110</v>
      </c>
      <c r="G18" s="17">
        <v>0</v>
      </c>
      <c r="H18" s="17"/>
      <c r="I18" s="17"/>
    </row>
    <row r="19" spans="1:15">
      <c r="A19" s="2">
        <v>46169</v>
      </c>
      <c r="B19" s="17">
        <v>64</v>
      </c>
      <c r="C19" s="17">
        <v>0</v>
      </c>
      <c r="D19" s="17">
        <v>0</v>
      </c>
      <c r="E19" s="17">
        <v>64</v>
      </c>
      <c r="F19" s="17">
        <v>125</v>
      </c>
      <c r="G19" s="17">
        <v>0</v>
      </c>
      <c r="H19" s="17">
        <v>0</v>
      </c>
      <c r="I19" s="17"/>
    </row>
    <row r="20" spans="1:15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15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15">
      <c r="A22" s="11" t="s">
        <v>7</v>
      </c>
      <c r="B22" s="12">
        <f t="shared" ref="B22:I22" si="1">SUM(B2:B21)</f>
        <v>1101</v>
      </c>
      <c r="C22" s="12">
        <f t="shared" si="1"/>
        <v>0</v>
      </c>
      <c r="D22" s="12">
        <f t="shared" si="1"/>
        <v>7</v>
      </c>
      <c r="E22" s="12">
        <f t="shared" si="1"/>
        <v>1108</v>
      </c>
      <c r="F22" s="12">
        <f t="shared" si="1"/>
        <v>1692</v>
      </c>
      <c r="G22" s="12">
        <f t="shared" si="1"/>
        <v>8</v>
      </c>
      <c r="H22" s="12">
        <f t="shared" si="1"/>
        <v>11</v>
      </c>
      <c r="I22" s="12">
        <f t="shared" si="1"/>
        <v>0</v>
      </c>
    </row>
    <row r="23" spans="1:15">
      <c r="A23" s="39" t="s">
        <v>16</v>
      </c>
      <c r="B23" s="39"/>
      <c r="C23" s="18"/>
      <c r="D23" s="18"/>
      <c r="E23" s="18"/>
      <c r="F23" s="18"/>
      <c r="G23" s="6" t="s">
        <v>8</v>
      </c>
      <c r="H23" s="18"/>
    </row>
    <row r="24" spans="1:15">
      <c r="A24" s="39"/>
      <c r="B24" s="39"/>
      <c r="C24" s="7" t="s">
        <v>9</v>
      </c>
      <c r="D24" s="7">
        <f>B22</f>
        <v>1101</v>
      </c>
      <c r="E24" s="7">
        <v>10</v>
      </c>
      <c r="F24" s="7">
        <f>SUM(D24*E24)</f>
        <v>11010</v>
      </c>
      <c r="G24" s="40">
        <f>SUM(F24+F25)</f>
        <v>11594</v>
      </c>
      <c r="H24" s="8"/>
    </row>
    <row r="25" spans="1:15">
      <c r="A25" s="39"/>
      <c r="B25" s="39"/>
      <c r="C25" s="7" t="s">
        <v>10</v>
      </c>
      <c r="D25" s="7">
        <f>F22</f>
        <v>1692</v>
      </c>
      <c r="E25" s="7">
        <f>E22</f>
        <v>1108</v>
      </c>
      <c r="F25" s="7">
        <f>SUM(D25-E25)</f>
        <v>584</v>
      </c>
      <c r="G25" s="40"/>
      <c r="H25" s="8"/>
    </row>
    <row r="26" spans="1:15">
      <c r="A26" s="39"/>
      <c r="B26" s="39"/>
      <c r="C26" s="7" t="s">
        <v>11</v>
      </c>
      <c r="D26" s="7">
        <f>G22</f>
        <v>8</v>
      </c>
      <c r="E26" s="7">
        <v>15</v>
      </c>
      <c r="F26" s="7">
        <f>SUM(D26*E26)</f>
        <v>120</v>
      </c>
      <c r="G26" s="13">
        <f>SUM(F26+H22)</f>
        <v>131</v>
      </c>
      <c r="H26" s="8"/>
    </row>
    <row r="27" spans="1:15">
      <c r="A27" s="18"/>
      <c r="B27" s="18"/>
      <c r="C27" s="15"/>
      <c r="D27" s="15"/>
      <c r="E27" s="16"/>
      <c r="F27" s="7" t="s">
        <v>12</v>
      </c>
      <c r="G27" s="14">
        <f>SUM(G24+G26)</f>
        <v>11725</v>
      </c>
      <c r="H27" s="18"/>
      <c r="O27" t="s">
        <v>54</v>
      </c>
    </row>
    <row r="28" spans="1:15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I28"/>
  <sheetViews>
    <sheetView zoomScale="86" zoomScaleNormal="86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92</v>
      </c>
      <c r="C2" s="17">
        <v>0</v>
      </c>
      <c r="D2" s="17">
        <v>8</v>
      </c>
      <c r="E2" s="17">
        <v>100</v>
      </c>
      <c r="F2" s="17">
        <v>92</v>
      </c>
      <c r="G2" s="17">
        <v>1</v>
      </c>
      <c r="H2" s="17">
        <v>1</v>
      </c>
      <c r="I2" s="17"/>
    </row>
    <row r="3" spans="1:9">
      <c r="A3" s="2">
        <v>46147</v>
      </c>
      <c r="B3" s="17">
        <v>60</v>
      </c>
      <c r="C3" s="17">
        <v>0</v>
      </c>
      <c r="D3" s="17">
        <v>5</v>
      </c>
      <c r="E3" s="17">
        <v>65</v>
      </c>
      <c r="F3" s="17">
        <v>72</v>
      </c>
      <c r="G3" s="17">
        <v>0</v>
      </c>
      <c r="H3" s="17"/>
      <c r="I3" s="17"/>
    </row>
    <row r="4" spans="1:9" s="19" customFormat="1">
      <c r="A4" s="2">
        <v>46148</v>
      </c>
      <c r="B4" s="17">
        <v>79</v>
      </c>
      <c r="C4" s="17">
        <v>0</v>
      </c>
      <c r="D4" s="17">
        <v>6</v>
      </c>
      <c r="E4" s="17">
        <v>85</v>
      </c>
      <c r="F4" s="17">
        <v>80</v>
      </c>
      <c r="G4" s="17">
        <v>0</v>
      </c>
      <c r="H4" s="17"/>
      <c r="I4" s="17"/>
    </row>
    <row r="5" spans="1:9" s="19" customFormat="1">
      <c r="A5" s="2">
        <v>46149</v>
      </c>
      <c r="B5" s="17">
        <v>53</v>
      </c>
      <c r="C5" s="17">
        <v>0</v>
      </c>
      <c r="D5" s="17">
        <v>1</v>
      </c>
      <c r="E5" s="17">
        <v>54</v>
      </c>
      <c r="F5" s="17">
        <v>54</v>
      </c>
      <c r="G5" s="17">
        <v>0</v>
      </c>
      <c r="H5" s="17"/>
      <c r="I5" s="17"/>
    </row>
    <row r="6" spans="1:9">
      <c r="A6" s="2">
        <v>46150</v>
      </c>
      <c r="B6" s="17">
        <v>65</v>
      </c>
      <c r="C6" s="17">
        <v>0</v>
      </c>
      <c r="D6" s="17">
        <v>2</v>
      </c>
      <c r="E6" s="17">
        <v>67</v>
      </c>
      <c r="F6" s="17">
        <v>65</v>
      </c>
      <c r="G6" s="17">
        <v>0</v>
      </c>
      <c r="H6" s="17"/>
      <c r="I6" s="17"/>
    </row>
    <row r="7" spans="1:9">
      <c r="A7" s="2">
        <v>46153</v>
      </c>
      <c r="B7" s="17">
        <v>94</v>
      </c>
      <c r="C7" s="17">
        <v>0</v>
      </c>
      <c r="D7" s="17">
        <v>5</v>
      </c>
      <c r="E7" s="17">
        <v>99</v>
      </c>
      <c r="F7" s="17">
        <v>95</v>
      </c>
      <c r="G7" s="17">
        <v>0</v>
      </c>
      <c r="H7" s="17"/>
      <c r="I7" s="17"/>
    </row>
    <row r="8" spans="1:9">
      <c r="A8" s="2">
        <v>46154</v>
      </c>
      <c r="B8" s="17">
        <v>59</v>
      </c>
      <c r="C8" s="17">
        <v>0</v>
      </c>
      <c r="D8" s="17">
        <v>5</v>
      </c>
      <c r="E8" s="17">
        <v>64</v>
      </c>
      <c r="F8" s="17">
        <v>60</v>
      </c>
      <c r="G8" s="17">
        <v>0</v>
      </c>
      <c r="H8" s="17"/>
      <c r="I8" s="17"/>
    </row>
    <row r="9" spans="1:9">
      <c r="A9" s="2">
        <v>46155</v>
      </c>
      <c r="B9" s="17">
        <v>79</v>
      </c>
      <c r="C9" s="17">
        <v>0</v>
      </c>
      <c r="D9" s="17">
        <v>4</v>
      </c>
      <c r="E9" s="17">
        <v>83</v>
      </c>
      <c r="F9" s="17">
        <v>79</v>
      </c>
      <c r="G9" s="17">
        <v>0</v>
      </c>
      <c r="H9" s="17"/>
      <c r="I9" s="17"/>
    </row>
    <row r="10" spans="1:9">
      <c r="A10" s="2">
        <v>46156</v>
      </c>
      <c r="B10" s="17"/>
      <c r="C10" s="17"/>
      <c r="D10" s="17"/>
      <c r="E10" s="17">
        <v>0</v>
      </c>
      <c r="F10" s="17"/>
      <c r="G10" s="17"/>
      <c r="H10" s="17"/>
      <c r="I10" s="17"/>
    </row>
    <row r="11" spans="1:9">
      <c r="A11" s="2">
        <v>46157</v>
      </c>
      <c r="B11" s="17">
        <v>72</v>
      </c>
      <c r="C11" s="17">
        <v>0</v>
      </c>
      <c r="D11" s="17">
        <v>1</v>
      </c>
      <c r="E11" s="17">
        <v>73</v>
      </c>
      <c r="F11" s="17">
        <v>97</v>
      </c>
      <c r="G11" s="17">
        <v>0</v>
      </c>
      <c r="H11" s="17"/>
      <c r="I11" s="17"/>
    </row>
    <row r="12" spans="1:9">
      <c r="A12" s="2">
        <v>46160</v>
      </c>
      <c r="B12" s="17">
        <v>100</v>
      </c>
      <c r="C12" s="17">
        <v>20</v>
      </c>
      <c r="D12" s="17">
        <v>0</v>
      </c>
      <c r="E12" s="17">
        <v>120</v>
      </c>
      <c r="F12" s="17">
        <v>100</v>
      </c>
      <c r="G12" s="17">
        <v>0</v>
      </c>
      <c r="H12" s="17"/>
      <c r="I12" s="17"/>
    </row>
    <row r="13" spans="1:9">
      <c r="A13" s="2">
        <v>46161</v>
      </c>
      <c r="B13" s="17">
        <v>62</v>
      </c>
      <c r="C13" s="17">
        <v>0</v>
      </c>
      <c r="D13" s="17">
        <v>1</v>
      </c>
      <c r="E13" s="17">
        <v>63</v>
      </c>
      <c r="F13" s="17">
        <v>67</v>
      </c>
      <c r="G13" s="17">
        <v>0</v>
      </c>
      <c r="H13" s="17"/>
      <c r="I13" s="17"/>
    </row>
    <row r="14" spans="1:9">
      <c r="A14" s="2">
        <v>46162</v>
      </c>
      <c r="B14" s="17">
        <v>61</v>
      </c>
      <c r="C14" s="17">
        <v>0</v>
      </c>
      <c r="D14" s="17">
        <v>2</v>
      </c>
      <c r="E14" s="17">
        <v>63</v>
      </c>
      <c r="F14" s="17">
        <v>79</v>
      </c>
      <c r="G14" s="17">
        <v>0</v>
      </c>
      <c r="H14" s="17"/>
      <c r="I14" s="17"/>
    </row>
    <row r="15" spans="1:9">
      <c r="A15" s="2">
        <v>46163</v>
      </c>
      <c r="B15" s="17">
        <v>73</v>
      </c>
      <c r="C15" s="17">
        <v>0</v>
      </c>
      <c r="D15" s="17">
        <v>1</v>
      </c>
      <c r="E15" s="17">
        <v>74</v>
      </c>
      <c r="F15" s="17">
        <v>82</v>
      </c>
      <c r="G15" s="17">
        <v>0</v>
      </c>
      <c r="H15" s="17"/>
      <c r="I15" s="17"/>
    </row>
    <row r="16" spans="1:9">
      <c r="A16" s="2">
        <v>46164</v>
      </c>
      <c r="B16" s="17">
        <v>89</v>
      </c>
      <c r="C16" s="17">
        <v>0</v>
      </c>
      <c r="D16" s="17">
        <v>1</v>
      </c>
      <c r="E16" s="17">
        <v>90</v>
      </c>
      <c r="F16" s="17">
        <v>91</v>
      </c>
      <c r="G16" s="17">
        <v>0</v>
      </c>
      <c r="H16" s="17"/>
      <c r="I16" s="17"/>
    </row>
    <row r="17" spans="1:9">
      <c r="A17" s="2">
        <v>46167</v>
      </c>
      <c r="B17" s="17">
        <v>102</v>
      </c>
      <c r="C17" s="17">
        <v>11</v>
      </c>
      <c r="D17" s="17">
        <v>8</v>
      </c>
      <c r="E17" s="17">
        <v>121</v>
      </c>
      <c r="F17" s="17">
        <v>103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74</v>
      </c>
      <c r="C18" s="17">
        <v>0</v>
      </c>
      <c r="D18" s="17">
        <v>0</v>
      </c>
      <c r="E18" s="17">
        <v>74</v>
      </c>
      <c r="F18" s="17">
        <v>74</v>
      </c>
      <c r="G18" s="17">
        <v>0</v>
      </c>
      <c r="H18" s="17"/>
      <c r="I18" s="17"/>
    </row>
    <row r="19" spans="1:9">
      <c r="A19" s="2">
        <v>46169</v>
      </c>
      <c r="B19" s="17">
        <v>60</v>
      </c>
      <c r="C19" s="17">
        <v>0</v>
      </c>
      <c r="D19" s="17">
        <v>2</v>
      </c>
      <c r="E19" s="17">
        <v>62</v>
      </c>
      <c r="F19" s="17">
        <v>74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1274</v>
      </c>
      <c r="C22" s="12">
        <f t="shared" si="1"/>
        <v>31</v>
      </c>
      <c r="D22" s="12">
        <f t="shared" si="1"/>
        <v>52</v>
      </c>
      <c r="E22" s="12">
        <f t="shared" si="1"/>
        <v>1357</v>
      </c>
      <c r="F22" s="12">
        <f t="shared" si="1"/>
        <v>1364</v>
      </c>
      <c r="G22" s="12">
        <f t="shared" si="1"/>
        <v>1</v>
      </c>
      <c r="H22" s="12">
        <f t="shared" si="1"/>
        <v>1</v>
      </c>
      <c r="I22" s="12">
        <f t="shared" si="1"/>
        <v>0</v>
      </c>
    </row>
    <row r="23" spans="1:9" ht="16.2" customHeight="1">
      <c r="A23" s="41" t="s">
        <v>28</v>
      </c>
      <c r="B23" s="41"/>
      <c r="C23" s="18"/>
      <c r="D23" s="18"/>
      <c r="E23" s="18"/>
      <c r="F23" s="18"/>
      <c r="G23" s="6" t="s">
        <v>8</v>
      </c>
      <c r="H23" s="18"/>
    </row>
    <row r="24" spans="1:9" ht="16.2" customHeight="1">
      <c r="A24" s="41"/>
      <c r="B24" s="41"/>
      <c r="C24" s="7" t="s">
        <v>9</v>
      </c>
      <c r="D24" s="7">
        <f>B22</f>
        <v>1274</v>
      </c>
      <c r="E24" s="7">
        <v>10</v>
      </c>
      <c r="F24" s="7">
        <f>SUM(D24*E24)</f>
        <v>12740</v>
      </c>
      <c r="G24" s="40">
        <f>SUM(F24+F25)</f>
        <v>12747</v>
      </c>
      <c r="H24" s="8"/>
    </row>
    <row r="25" spans="1:9" ht="16.2" customHeight="1">
      <c r="A25" s="41"/>
      <c r="B25" s="41"/>
      <c r="C25" s="7" t="s">
        <v>10</v>
      </c>
      <c r="D25" s="7">
        <f>F22</f>
        <v>1364</v>
      </c>
      <c r="E25" s="7">
        <f>E22</f>
        <v>1357</v>
      </c>
      <c r="F25" s="7">
        <f>SUM(D25-E25)</f>
        <v>7</v>
      </c>
      <c r="G25" s="40"/>
      <c r="H25" s="8"/>
    </row>
    <row r="26" spans="1:9" ht="16.2" customHeight="1">
      <c r="A26" s="41"/>
      <c r="B26" s="41"/>
      <c r="C26" s="7" t="s">
        <v>11</v>
      </c>
      <c r="D26" s="7">
        <f>G22</f>
        <v>1</v>
      </c>
      <c r="E26" s="7">
        <v>15</v>
      </c>
      <c r="F26" s="7">
        <f>SUM(D26*E26)</f>
        <v>15</v>
      </c>
      <c r="G26" s="13">
        <f>SUM(F26+H22)</f>
        <v>16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12763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I28"/>
  <sheetViews>
    <sheetView zoomScale="79" zoomScaleNormal="79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53</v>
      </c>
      <c r="C2" s="17">
        <v>0</v>
      </c>
      <c r="D2" s="17">
        <v>2</v>
      </c>
      <c r="E2" s="17">
        <v>55</v>
      </c>
      <c r="F2" s="17">
        <v>121</v>
      </c>
      <c r="G2" s="17">
        <v>0</v>
      </c>
      <c r="H2" s="17"/>
      <c r="I2" s="17"/>
    </row>
    <row r="3" spans="1:9">
      <c r="A3" s="2">
        <v>46147</v>
      </c>
      <c r="B3" s="17">
        <v>46</v>
      </c>
      <c r="C3" s="17">
        <v>0</v>
      </c>
      <c r="D3" s="17">
        <v>5</v>
      </c>
      <c r="E3" s="17">
        <v>51</v>
      </c>
      <c r="F3" s="17">
        <v>88</v>
      </c>
      <c r="G3" s="17">
        <v>0</v>
      </c>
      <c r="H3" s="17"/>
      <c r="I3" s="17"/>
    </row>
    <row r="4" spans="1:9" s="19" customFormat="1">
      <c r="A4" s="2">
        <v>46148</v>
      </c>
      <c r="B4" s="17">
        <v>39</v>
      </c>
      <c r="C4" s="17">
        <v>0</v>
      </c>
      <c r="D4" s="17">
        <v>4</v>
      </c>
      <c r="E4" s="17">
        <v>43</v>
      </c>
      <c r="F4" s="17">
        <v>112</v>
      </c>
      <c r="G4" s="17">
        <v>0</v>
      </c>
      <c r="H4" s="17"/>
      <c r="I4" s="17"/>
    </row>
    <row r="5" spans="1:9" s="19" customFormat="1">
      <c r="A5" s="2">
        <v>46149</v>
      </c>
      <c r="B5" s="17">
        <v>42</v>
      </c>
      <c r="C5" s="17">
        <v>0</v>
      </c>
      <c r="D5" s="17">
        <v>2</v>
      </c>
      <c r="E5" s="17">
        <v>44</v>
      </c>
      <c r="F5" s="17">
        <v>82</v>
      </c>
      <c r="G5" s="17">
        <v>0</v>
      </c>
      <c r="H5" s="17"/>
      <c r="I5" s="17"/>
    </row>
    <row r="6" spans="1:9">
      <c r="A6" s="2">
        <v>46150</v>
      </c>
      <c r="B6" s="17">
        <v>41</v>
      </c>
      <c r="C6" s="17">
        <v>0</v>
      </c>
      <c r="D6" s="17">
        <v>0</v>
      </c>
      <c r="E6" s="17">
        <v>41</v>
      </c>
      <c r="F6" s="17">
        <v>101</v>
      </c>
      <c r="G6" s="17">
        <v>0</v>
      </c>
      <c r="H6" s="17"/>
      <c r="I6" s="17"/>
    </row>
    <row r="7" spans="1:9">
      <c r="A7" s="2">
        <v>46153</v>
      </c>
      <c r="B7" s="17">
        <v>50</v>
      </c>
      <c r="C7" s="17">
        <v>0</v>
      </c>
      <c r="D7" s="17">
        <v>3</v>
      </c>
      <c r="E7" s="17">
        <v>53</v>
      </c>
      <c r="F7" s="17">
        <v>65</v>
      </c>
      <c r="G7" s="17">
        <v>0</v>
      </c>
      <c r="H7" s="17"/>
      <c r="I7" s="17"/>
    </row>
    <row r="8" spans="1:9">
      <c r="A8" s="2">
        <v>46154</v>
      </c>
      <c r="B8" s="17">
        <v>41</v>
      </c>
      <c r="C8" s="17">
        <v>0</v>
      </c>
      <c r="D8" s="17">
        <v>3</v>
      </c>
      <c r="E8" s="17">
        <v>44</v>
      </c>
      <c r="F8" s="17">
        <v>66</v>
      </c>
      <c r="G8" s="17">
        <v>0</v>
      </c>
      <c r="H8" s="17"/>
      <c r="I8" s="17"/>
    </row>
    <row r="9" spans="1:9">
      <c r="A9" s="2">
        <v>46155</v>
      </c>
      <c r="B9" s="17">
        <v>38</v>
      </c>
      <c r="C9" s="17">
        <v>0</v>
      </c>
      <c r="D9" s="17">
        <v>1</v>
      </c>
      <c r="E9" s="17">
        <v>39</v>
      </c>
      <c r="F9" s="17">
        <v>79</v>
      </c>
      <c r="G9" s="17">
        <v>0</v>
      </c>
      <c r="H9" s="17"/>
      <c r="I9" s="17"/>
    </row>
    <row r="10" spans="1:9">
      <c r="A10" s="2">
        <v>46156</v>
      </c>
      <c r="B10" s="17">
        <v>25</v>
      </c>
      <c r="C10" s="17">
        <v>0</v>
      </c>
      <c r="D10" s="17">
        <v>2</v>
      </c>
      <c r="E10" s="17">
        <v>27</v>
      </c>
      <c r="F10" s="17">
        <v>35</v>
      </c>
      <c r="G10" s="17">
        <v>0</v>
      </c>
      <c r="H10" s="17"/>
      <c r="I10" s="17"/>
    </row>
    <row r="11" spans="1:9">
      <c r="A11" s="2">
        <v>46157</v>
      </c>
      <c r="B11" s="17">
        <v>40</v>
      </c>
      <c r="C11" s="17">
        <v>0</v>
      </c>
      <c r="D11" s="17">
        <v>8</v>
      </c>
      <c r="E11" s="17">
        <v>48</v>
      </c>
      <c r="F11" s="17">
        <v>97</v>
      </c>
      <c r="G11" s="17">
        <v>0</v>
      </c>
      <c r="H11" s="17"/>
      <c r="I11" s="17"/>
    </row>
    <row r="12" spans="1:9">
      <c r="A12" s="2">
        <v>46160</v>
      </c>
      <c r="B12" s="17">
        <v>52</v>
      </c>
      <c r="C12" s="17">
        <v>0</v>
      </c>
      <c r="D12" s="17">
        <v>11</v>
      </c>
      <c r="E12" s="17">
        <v>63</v>
      </c>
      <c r="F12" s="17">
        <v>159</v>
      </c>
      <c r="G12" s="17">
        <v>0</v>
      </c>
      <c r="H12" s="17"/>
      <c r="I12" s="17"/>
    </row>
    <row r="13" spans="1:9">
      <c r="A13" s="2">
        <v>46161</v>
      </c>
      <c r="B13" s="17">
        <v>65</v>
      </c>
      <c r="C13" s="17">
        <v>0</v>
      </c>
      <c r="D13" s="17">
        <v>6</v>
      </c>
      <c r="E13" s="17">
        <v>71</v>
      </c>
      <c r="F13" s="17">
        <v>80</v>
      </c>
      <c r="G13" s="17">
        <v>1</v>
      </c>
      <c r="H13" s="17">
        <v>5</v>
      </c>
      <c r="I13" s="17"/>
    </row>
    <row r="14" spans="1:9">
      <c r="A14" s="2">
        <v>46162</v>
      </c>
      <c r="B14" s="17">
        <v>60</v>
      </c>
      <c r="C14" s="17">
        <v>0</v>
      </c>
      <c r="D14" s="17">
        <v>1</v>
      </c>
      <c r="E14" s="17">
        <v>61</v>
      </c>
      <c r="F14" s="17">
        <v>67</v>
      </c>
      <c r="G14" s="17">
        <v>0</v>
      </c>
      <c r="H14" s="17"/>
      <c r="I14" s="17"/>
    </row>
    <row r="15" spans="1:9">
      <c r="A15" s="2">
        <v>46163</v>
      </c>
      <c r="B15" s="17">
        <v>47</v>
      </c>
      <c r="C15" s="17">
        <v>0</v>
      </c>
      <c r="D15" s="17">
        <v>1</v>
      </c>
      <c r="E15" s="17">
        <v>48</v>
      </c>
      <c r="F15" s="17">
        <v>65</v>
      </c>
      <c r="G15" s="17">
        <v>1</v>
      </c>
      <c r="H15" s="17"/>
      <c r="I15" s="17"/>
    </row>
    <row r="16" spans="1:9">
      <c r="A16" s="2">
        <v>46164</v>
      </c>
      <c r="B16" s="17">
        <v>52</v>
      </c>
      <c r="C16" s="17">
        <v>0</v>
      </c>
      <c r="D16" s="17">
        <v>0</v>
      </c>
      <c r="E16" s="17">
        <v>52</v>
      </c>
      <c r="F16" s="17">
        <v>62</v>
      </c>
      <c r="G16" s="17">
        <v>0</v>
      </c>
      <c r="H16" s="17"/>
      <c r="I16" s="17"/>
    </row>
    <row r="17" spans="1:9">
      <c r="A17" s="2">
        <v>46167</v>
      </c>
      <c r="B17" s="17">
        <v>46</v>
      </c>
      <c r="C17" s="17">
        <v>0</v>
      </c>
      <c r="D17" s="17">
        <v>4</v>
      </c>
      <c r="E17" s="17">
        <v>50</v>
      </c>
      <c r="F17" s="17">
        <v>86</v>
      </c>
      <c r="G17" s="17">
        <v>1</v>
      </c>
      <c r="H17" s="17">
        <v>2</v>
      </c>
      <c r="I17" s="17"/>
    </row>
    <row r="18" spans="1:9">
      <c r="A18" s="2">
        <v>46168</v>
      </c>
      <c r="B18" s="17">
        <v>63</v>
      </c>
      <c r="C18" s="17">
        <v>0</v>
      </c>
      <c r="D18" s="17">
        <v>4</v>
      </c>
      <c r="E18" s="17">
        <v>67</v>
      </c>
      <c r="F18" s="17">
        <v>83</v>
      </c>
      <c r="G18" s="17">
        <v>0</v>
      </c>
      <c r="H18" s="17"/>
      <c r="I18" s="17"/>
    </row>
    <row r="19" spans="1:9">
      <c r="A19" s="2">
        <v>46169</v>
      </c>
      <c r="B19" s="17">
        <v>48</v>
      </c>
      <c r="C19" s="17">
        <v>0</v>
      </c>
      <c r="D19" s="17">
        <v>2</v>
      </c>
      <c r="E19" s="17">
        <v>50</v>
      </c>
      <c r="F19" s="17">
        <v>84</v>
      </c>
      <c r="G19" s="17">
        <v>2</v>
      </c>
      <c r="H19" s="17">
        <v>2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848</v>
      </c>
      <c r="C22" s="12">
        <f t="shared" si="1"/>
        <v>0</v>
      </c>
      <c r="D22" s="12">
        <f t="shared" si="1"/>
        <v>59</v>
      </c>
      <c r="E22" s="12">
        <f t="shared" si="1"/>
        <v>907</v>
      </c>
      <c r="F22" s="12">
        <f t="shared" si="1"/>
        <v>1532</v>
      </c>
      <c r="G22" s="12">
        <f t="shared" si="1"/>
        <v>5</v>
      </c>
      <c r="H22" s="12">
        <f t="shared" si="1"/>
        <v>9</v>
      </c>
      <c r="I22" s="12">
        <f t="shared" si="1"/>
        <v>0</v>
      </c>
    </row>
    <row r="23" spans="1:9">
      <c r="A23" s="39" t="s">
        <v>29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848</v>
      </c>
      <c r="E24" s="7">
        <v>10</v>
      </c>
      <c r="F24" s="7">
        <f>SUM(D24*E24)</f>
        <v>8480</v>
      </c>
      <c r="G24" s="40">
        <f>SUM(F24+F25)</f>
        <v>9105</v>
      </c>
      <c r="H24" s="8"/>
    </row>
    <row r="25" spans="1:9">
      <c r="A25" s="39"/>
      <c r="B25" s="39"/>
      <c r="C25" s="7" t="s">
        <v>10</v>
      </c>
      <c r="D25" s="7">
        <f>F22</f>
        <v>1532</v>
      </c>
      <c r="E25" s="7">
        <f>E22</f>
        <v>907</v>
      </c>
      <c r="F25" s="7">
        <f>SUM(D25-E25)</f>
        <v>625</v>
      </c>
      <c r="G25" s="40"/>
      <c r="H25" s="8"/>
    </row>
    <row r="26" spans="1:9">
      <c r="A26" s="39"/>
      <c r="B26" s="39"/>
      <c r="C26" s="7" t="s">
        <v>11</v>
      </c>
      <c r="D26" s="7">
        <f>G22</f>
        <v>5</v>
      </c>
      <c r="E26" s="7">
        <v>15</v>
      </c>
      <c r="F26" s="7">
        <f>SUM(D26*E26)</f>
        <v>75</v>
      </c>
      <c r="G26" s="13">
        <f>SUM(F26+H22)</f>
        <v>84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9189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I28"/>
  <sheetViews>
    <sheetView zoomScale="82" zoomScaleNormal="82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>
      <c r="A2" s="2">
        <v>46146</v>
      </c>
      <c r="B2" s="17">
        <v>68</v>
      </c>
      <c r="C2" s="17">
        <v>0</v>
      </c>
      <c r="D2" s="17">
        <v>3</v>
      </c>
      <c r="E2" s="17">
        <v>71</v>
      </c>
      <c r="F2" s="17">
        <v>68</v>
      </c>
      <c r="G2" s="17">
        <v>0</v>
      </c>
      <c r="H2" s="17"/>
      <c r="I2" s="17"/>
    </row>
    <row r="3" spans="1:9">
      <c r="A3" s="2">
        <v>46147</v>
      </c>
      <c r="B3" s="17">
        <v>85</v>
      </c>
      <c r="C3" s="17">
        <v>0</v>
      </c>
      <c r="D3" s="17">
        <v>1</v>
      </c>
      <c r="E3" s="17">
        <v>86</v>
      </c>
      <c r="F3" s="17">
        <v>85</v>
      </c>
      <c r="G3" s="17">
        <v>0</v>
      </c>
      <c r="H3" s="17"/>
      <c r="I3" s="17"/>
    </row>
    <row r="4" spans="1:9" s="19" customFormat="1">
      <c r="A4" s="2">
        <v>46148</v>
      </c>
      <c r="B4" s="17">
        <v>94</v>
      </c>
      <c r="C4" s="17">
        <v>0</v>
      </c>
      <c r="D4" s="17">
        <v>4</v>
      </c>
      <c r="E4" s="17">
        <v>98</v>
      </c>
      <c r="F4" s="17">
        <v>94</v>
      </c>
      <c r="G4" s="17">
        <v>0</v>
      </c>
      <c r="H4" s="17"/>
      <c r="I4" s="17"/>
    </row>
    <row r="5" spans="1:9" s="19" customFormat="1">
      <c r="A5" s="2">
        <v>46149</v>
      </c>
      <c r="B5" s="17">
        <v>76</v>
      </c>
      <c r="C5" s="17">
        <v>0</v>
      </c>
      <c r="D5" s="17">
        <v>3</v>
      </c>
      <c r="E5" s="17">
        <v>79</v>
      </c>
      <c r="F5" s="17">
        <v>76</v>
      </c>
      <c r="G5" s="17">
        <v>0</v>
      </c>
      <c r="H5" s="17"/>
      <c r="I5" s="17"/>
    </row>
    <row r="6" spans="1:9">
      <c r="A6" s="2">
        <v>46150</v>
      </c>
      <c r="B6" s="29"/>
      <c r="C6" s="29"/>
      <c r="D6" s="29"/>
      <c r="E6" s="29">
        <v>0</v>
      </c>
      <c r="F6" s="29"/>
      <c r="G6" s="29"/>
      <c r="H6" s="29"/>
      <c r="I6" s="17"/>
    </row>
    <row r="7" spans="1:9">
      <c r="A7" s="2">
        <v>46153</v>
      </c>
      <c r="B7" s="17">
        <v>71</v>
      </c>
      <c r="C7" s="17">
        <v>0</v>
      </c>
      <c r="D7" s="17">
        <v>0</v>
      </c>
      <c r="E7" s="17">
        <v>71</v>
      </c>
      <c r="F7" s="17">
        <v>71</v>
      </c>
      <c r="G7" s="17">
        <v>0</v>
      </c>
      <c r="H7" s="17"/>
      <c r="I7" s="17"/>
    </row>
    <row r="8" spans="1:9">
      <c r="A8" s="2">
        <v>46154</v>
      </c>
      <c r="B8" s="17">
        <v>85</v>
      </c>
      <c r="C8" s="17">
        <v>0</v>
      </c>
      <c r="D8" s="17">
        <v>2</v>
      </c>
      <c r="E8" s="17">
        <v>87</v>
      </c>
      <c r="F8" s="17">
        <v>85</v>
      </c>
      <c r="G8" s="17">
        <v>0</v>
      </c>
      <c r="H8" s="17"/>
      <c r="I8" s="17"/>
    </row>
    <row r="9" spans="1:9">
      <c r="A9" s="2">
        <v>46155</v>
      </c>
      <c r="B9" s="17">
        <v>44</v>
      </c>
      <c r="C9" s="17">
        <v>0</v>
      </c>
      <c r="D9" s="17">
        <v>3</v>
      </c>
      <c r="E9" s="17">
        <v>47</v>
      </c>
      <c r="F9" s="17">
        <v>44</v>
      </c>
      <c r="G9" s="17">
        <v>0</v>
      </c>
      <c r="H9" s="17"/>
      <c r="I9" s="17"/>
    </row>
    <row r="10" spans="1:9">
      <c r="A10" s="2">
        <v>46156</v>
      </c>
      <c r="B10" s="17">
        <v>52</v>
      </c>
      <c r="C10" s="17">
        <v>0</v>
      </c>
      <c r="D10" s="17">
        <v>1</v>
      </c>
      <c r="E10" s="17">
        <v>53</v>
      </c>
      <c r="F10" s="17">
        <v>52</v>
      </c>
      <c r="G10" s="17">
        <v>0</v>
      </c>
      <c r="H10" s="17"/>
      <c r="I10" s="17"/>
    </row>
    <row r="11" spans="1:9">
      <c r="A11" s="2">
        <v>46157</v>
      </c>
      <c r="B11" s="17">
        <v>59</v>
      </c>
      <c r="C11" s="17">
        <v>0</v>
      </c>
      <c r="D11" s="17">
        <v>1</v>
      </c>
      <c r="E11" s="17">
        <v>60</v>
      </c>
      <c r="F11" s="17">
        <v>59</v>
      </c>
      <c r="G11" s="17">
        <v>0</v>
      </c>
      <c r="H11" s="17"/>
      <c r="I11" s="17"/>
    </row>
    <row r="12" spans="1:9">
      <c r="A12" s="2">
        <v>46160</v>
      </c>
      <c r="B12" s="17">
        <v>84</v>
      </c>
      <c r="C12" s="17">
        <v>0</v>
      </c>
      <c r="D12" s="17">
        <v>0</v>
      </c>
      <c r="E12" s="17">
        <v>84</v>
      </c>
      <c r="F12" s="17">
        <v>84</v>
      </c>
      <c r="G12" s="17">
        <v>0</v>
      </c>
      <c r="H12" s="17"/>
      <c r="I12" s="17"/>
    </row>
    <row r="13" spans="1:9">
      <c r="A13" s="2">
        <v>46161</v>
      </c>
      <c r="B13" s="17">
        <v>81</v>
      </c>
      <c r="C13" s="17">
        <v>0</v>
      </c>
      <c r="D13" s="17">
        <v>3</v>
      </c>
      <c r="E13" s="17">
        <v>84</v>
      </c>
      <c r="F13" s="17">
        <v>81</v>
      </c>
      <c r="G13" s="17">
        <v>0</v>
      </c>
      <c r="H13" s="17"/>
      <c r="I13" s="17"/>
    </row>
    <row r="14" spans="1:9">
      <c r="A14" s="2">
        <v>46162</v>
      </c>
      <c r="B14" s="17">
        <v>57</v>
      </c>
      <c r="C14" s="17">
        <v>0</v>
      </c>
      <c r="D14" s="17">
        <v>3</v>
      </c>
      <c r="E14" s="17">
        <v>60</v>
      </c>
      <c r="F14" s="17">
        <v>57</v>
      </c>
      <c r="G14" s="17">
        <v>0</v>
      </c>
      <c r="H14" s="17"/>
      <c r="I14" s="17"/>
    </row>
    <row r="15" spans="1:9">
      <c r="A15" s="2">
        <v>46163</v>
      </c>
      <c r="B15" s="17">
        <v>79</v>
      </c>
      <c r="C15" s="17">
        <v>0</v>
      </c>
      <c r="D15" s="17">
        <v>4</v>
      </c>
      <c r="E15" s="17">
        <v>83</v>
      </c>
      <c r="F15" s="17">
        <v>79</v>
      </c>
      <c r="G15" s="17">
        <v>0</v>
      </c>
      <c r="H15" s="17"/>
      <c r="I15" s="17"/>
    </row>
    <row r="16" spans="1:9">
      <c r="A16" s="2">
        <v>46164</v>
      </c>
      <c r="B16" s="17">
        <v>86</v>
      </c>
      <c r="C16" s="17">
        <v>0</v>
      </c>
      <c r="D16" s="17">
        <v>2</v>
      </c>
      <c r="E16" s="17">
        <v>88</v>
      </c>
      <c r="F16" s="17">
        <v>86</v>
      </c>
      <c r="G16" s="17">
        <v>1</v>
      </c>
      <c r="H16" s="17">
        <v>2</v>
      </c>
      <c r="I16" s="17"/>
    </row>
    <row r="17" spans="1:9">
      <c r="A17" s="2">
        <v>46167</v>
      </c>
      <c r="B17" s="17">
        <v>90</v>
      </c>
      <c r="C17" s="17">
        <v>0</v>
      </c>
      <c r="D17" s="17">
        <v>2</v>
      </c>
      <c r="E17" s="17">
        <v>92</v>
      </c>
      <c r="F17" s="17">
        <v>90</v>
      </c>
      <c r="G17" s="17">
        <v>0</v>
      </c>
      <c r="H17" s="17">
        <v>0</v>
      </c>
      <c r="I17" s="17"/>
    </row>
    <row r="18" spans="1:9">
      <c r="A18" s="2">
        <v>46168</v>
      </c>
      <c r="B18" s="17">
        <v>71</v>
      </c>
      <c r="C18" s="17">
        <v>0</v>
      </c>
      <c r="D18" s="17">
        <v>2</v>
      </c>
      <c r="E18" s="17">
        <v>73</v>
      </c>
      <c r="F18" s="17">
        <v>71</v>
      </c>
      <c r="G18" s="17">
        <v>0</v>
      </c>
      <c r="H18" s="17"/>
      <c r="I18" s="17"/>
    </row>
    <row r="19" spans="1:9">
      <c r="A19" s="2">
        <v>46169</v>
      </c>
      <c r="B19" s="17">
        <v>63</v>
      </c>
      <c r="C19" s="17">
        <v>0</v>
      </c>
      <c r="D19" s="17">
        <v>3</v>
      </c>
      <c r="E19" s="17">
        <v>66</v>
      </c>
      <c r="F19" s="17">
        <v>63</v>
      </c>
      <c r="G19" s="17">
        <v>0</v>
      </c>
      <c r="H19" s="17">
        <v>0</v>
      </c>
      <c r="I19" s="17"/>
    </row>
    <row r="20" spans="1:9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>
      <c r="A22" s="11" t="s">
        <v>7</v>
      </c>
      <c r="B22" s="12">
        <f t="shared" ref="B22:I22" si="1">SUM(B2:B21)</f>
        <v>1245</v>
      </c>
      <c r="C22" s="12">
        <f t="shared" si="1"/>
        <v>0</v>
      </c>
      <c r="D22" s="12">
        <f t="shared" si="1"/>
        <v>37</v>
      </c>
      <c r="E22" s="12">
        <f t="shared" si="1"/>
        <v>1282</v>
      </c>
      <c r="F22" s="12">
        <f t="shared" si="1"/>
        <v>1245</v>
      </c>
      <c r="G22" s="12">
        <f t="shared" si="1"/>
        <v>1</v>
      </c>
      <c r="H22" s="12">
        <f t="shared" si="1"/>
        <v>2</v>
      </c>
      <c r="I22" s="12">
        <f t="shared" si="1"/>
        <v>0</v>
      </c>
    </row>
    <row r="23" spans="1:9">
      <c r="A23" s="39" t="s">
        <v>47</v>
      </c>
      <c r="B23" s="39"/>
      <c r="C23" s="18"/>
      <c r="D23" s="18"/>
      <c r="E23" s="18"/>
      <c r="F23" s="18"/>
      <c r="G23" s="6" t="s">
        <v>8</v>
      </c>
      <c r="H23" s="18"/>
    </row>
    <row r="24" spans="1:9">
      <c r="A24" s="39"/>
      <c r="B24" s="39"/>
      <c r="C24" s="7" t="s">
        <v>9</v>
      </c>
      <c r="D24" s="7">
        <f>B22</f>
        <v>1245</v>
      </c>
      <c r="E24" s="7">
        <v>10</v>
      </c>
      <c r="F24" s="7">
        <f>SUM(D24*E24)</f>
        <v>12450</v>
      </c>
      <c r="G24" s="40">
        <f>SUM(F24+F25)</f>
        <v>12413</v>
      </c>
      <c r="H24" s="8"/>
    </row>
    <row r="25" spans="1:9">
      <c r="A25" s="39"/>
      <c r="B25" s="39"/>
      <c r="C25" s="7" t="s">
        <v>10</v>
      </c>
      <c r="D25" s="7">
        <f>F22</f>
        <v>1245</v>
      </c>
      <c r="E25" s="7">
        <f>E22</f>
        <v>1282</v>
      </c>
      <c r="F25" s="7">
        <f>SUM(D25-E25)</f>
        <v>-37</v>
      </c>
      <c r="G25" s="40"/>
      <c r="H25" s="8"/>
    </row>
    <row r="26" spans="1:9">
      <c r="A26" s="39"/>
      <c r="B26" s="39"/>
      <c r="C26" s="7" t="s">
        <v>11</v>
      </c>
      <c r="D26" s="7">
        <f>G22</f>
        <v>1</v>
      </c>
      <c r="E26" s="7">
        <v>15</v>
      </c>
      <c r="F26" s="7">
        <f>SUM(D26*E26)</f>
        <v>15</v>
      </c>
      <c r="G26" s="13">
        <f>SUM(F26+H22)</f>
        <v>17</v>
      </c>
      <c r="H26" s="8"/>
    </row>
    <row r="27" spans="1:9">
      <c r="A27" s="18"/>
      <c r="B27" s="18"/>
      <c r="C27" s="15"/>
      <c r="D27" s="15"/>
      <c r="E27" s="16"/>
      <c r="F27" s="7" t="s">
        <v>12</v>
      </c>
      <c r="G27" s="14">
        <f>SUM(G24+G26)</f>
        <v>12430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I28"/>
  <sheetViews>
    <sheetView zoomScale="83" zoomScaleNormal="83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 ht="16.2" customHeight="1">
      <c r="A2" s="2">
        <v>46146</v>
      </c>
      <c r="B2" s="17">
        <v>107</v>
      </c>
      <c r="C2" s="17">
        <v>0</v>
      </c>
      <c r="D2" s="17">
        <v>3</v>
      </c>
      <c r="E2" s="17">
        <v>110</v>
      </c>
      <c r="F2" s="17">
        <v>204</v>
      </c>
      <c r="G2" s="17">
        <v>1</v>
      </c>
      <c r="H2" s="17"/>
      <c r="I2" s="17"/>
    </row>
    <row r="3" spans="1:9" ht="16.2" customHeight="1">
      <c r="A3" s="2">
        <v>46147</v>
      </c>
      <c r="B3" s="17">
        <v>93</v>
      </c>
      <c r="C3" s="17">
        <v>0</v>
      </c>
      <c r="D3" s="17">
        <v>4</v>
      </c>
      <c r="E3" s="17">
        <v>97</v>
      </c>
      <c r="F3" s="17">
        <v>155</v>
      </c>
      <c r="G3" s="17">
        <v>1</v>
      </c>
      <c r="H3" s="17">
        <v>3</v>
      </c>
      <c r="I3" s="17"/>
    </row>
    <row r="4" spans="1:9" s="19" customFormat="1" ht="16.2" customHeight="1">
      <c r="A4" s="2">
        <v>46148</v>
      </c>
      <c r="B4" s="17">
        <v>65</v>
      </c>
      <c r="C4" s="17">
        <v>0</v>
      </c>
      <c r="D4" s="17">
        <v>1</v>
      </c>
      <c r="E4" s="17">
        <v>66</v>
      </c>
      <c r="F4" s="17">
        <v>106</v>
      </c>
      <c r="G4" s="17">
        <v>0</v>
      </c>
      <c r="H4" s="17"/>
      <c r="I4" s="17"/>
    </row>
    <row r="5" spans="1:9" s="19" customFormat="1" ht="16.2" customHeight="1">
      <c r="A5" s="2">
        <v>46149</v>
      </c>
      <c r="B5" s="17">
        <v>56</v>
      </c>
      <c r="C5" s="17">
        <v>0</v>
      </c>
      <c r="D5" s="17">
        <v>0</v>
      </c>
      <c r="E5" s="17">
        <v>56</v>
      </c>
      <c r="F5" s="17">
        <v>87</v>
      </c>
      <c r="G5" s="17">
        <v>0</v>
      </c>
      <c r="H5" s="17"/>
      <c r="I5" s="17"/>
    </row>
    <row r="6" spans="1:9" ht="16.2" customHeight="1">
      <c r="A6" s="2">
        <v>46150</v>
      </c>
      <c r="B6" s="17">
        <v>62</v>
      </c>
      <c r="C6" s="17">
        <v>0</v>
      </c>
      <c r="D6" s="17">
        <v>1</v>
      </c>
      <c r="E6" s="17">
        <v>63</v>
      </c>
      <c r="F6" s="17">
        <v>84</v>
      </c>
      <c r="G6" s="17">
        <v>0</v>
      </c>
      <c r="H6" s="17"/>
      <c r="I6" s="17"/>
    </row>
    <row r="7" spans="1:9" ht="16.2" customHeight="1">
      <c r="A7" s="2">
        <v>46153</v>
      </c>
      <c r="B7" s="17">
        <v>89</v>
      </c>
      <c r="C7" s="17">
        <v>12</v>
      </c>
      <c r="D7" s="17">
        <v>2</v>
      </c>
      <c r="E7" s="17">
        <v>103</v>
      </c>
      <c r="F7" s="17">
        <v>141</v>
      </c>
      <c r="G7" s="17">
        <v>0</v>
      </c>
      <c r="H7" s="17"/>
      <c r="I7" s="17"/>
    </row>
    <row r="8" spans="1:9" ht="16.2" customHeight="1">
      <c r="A8" s="2">
        <v>46154</v>
      </c>
      <c r="B8" s="17">
        <v>69</v>
      </c>
      <c r="C8" s="17">
        <v>0</v>
      </c>
      <c r="D8" s="17">
        <v>0</v>
      </c>
      <c r="E8" s="17">
        <v>69</v>
      </c>
      <c r="F8" s="17">
        <v>87</v>
      </c>
      <c r="G8" s="17">
        <v>1</v>
      </c>
      <c r="H8" s="17">
        <v>3</v>
      </c>
      <c r="I8" s="17"/>
    </row>
    <row r="9" spans="1:9" ht="16.2" customHeight="1">
      <c r="A9" s="2">
        <v>46155</v>
      </c>
      <c r="B9" s="17">
        <v>48</v>
      </c>
      <c r="C9" s="17">
        <v>0</v>
      </c>
      <c r="D9" s="17">
        <v>2</v>
      </c>
      <c r="E9" s="17">
        <v>50</v>
      </c>
      <c r="F9" s="17">
        <v>60</v>
      </c>
      <c r="G9" s="17">
        <v>2</v>
      </c>
      <c r="H9" s="17">
        <v>3</v>
      </c>
      <c r="I9" s="17"/>
    </row>
    <row r="10" spans="1:9" ht="16.2" customHeight="1">
      <c r="A10" s="2">
        <v>46156</v>
      </c>
      <c r="B10" s="17">
        <v>40</v>
      </c>
      <c r="C10" s="17">
        <v>0</v>
      </c>
      <c r="D10" s="17">
        <v>1</v>
      </c>
      <c r="E10" s="17">
        <v>41</v>
      </c>
      <c r="F10" s="17">
        <v>48</v>
      </c>
      <c r="G10" s="17">
        <v>1</v>
      </c>
      <c r="H10" s="17">
        <v>7</v>
      </c>
      <c r="I10" s="17"/>
    </row>
    <row r="11" spans="1:9" ht="16.2" customHeight="1">
      <c r="A11" s="2">
        <v>46157</v>
      </c>
      <c r="B11" s="17">
        <v>74</v>
      </c>
      <c r="C11" s="17">
        <v>0</v>
      </c>
      <c r="D11" s="17">
        <v>2</v>
      </c>
      <c r="E11" s="17">
        <v>76</v>
      </c>
      <c r="F11" s="17">
        <v>163</v>
      </c>
      <c r="G11" s="17">
        <v>0</v>
      </c>
      <c r="H11" s="17"/>
      <c r="I11" s="17"/>
    </row>
    <row r="12" spans="1:9" ht="16.2" customHeight="1">
      <c r="A12" s="2">
        <v>46160</v>
      </c>
      <c r="B12" s="17">
        <v>76</v>
      </c>
      <c r="C12" s="17">
        <v>0</v>
      </c>
      <c r="D12" s="17">
        <v>0</v>
      </c>
      <c r="E12" s="17">
        <v>76</v>
      </c>
      <c r="F12" s="17">
        <v>156</v>
      </c>
      <c r="G12" s="17">
        <v>2</v>
      </c>
      <c r="H12" s="17">
        <v>5</v>
      </c>
      <c r="I12" s="17"/>
    </row>
    <row r="13" spans="1:9" ht="16.2" customHeight="1">
      <c r="A13" s="2">
        <v>46161</v>
      </c>
      <c r="B13" s="17">
        <v>97</v>
      </c>
      <c r="C13" s="17">
        <v>0</v>
      </c>
      <c r="D13" s="17">
        <v>1</v>
      </c>
      <c r="E13" s="17">
        <v>98</v>
      </c>
      <c r="F13" s="17">
        <v>154</v>
      </c>
      <c r="G13" s="17">
        <v>0</v>
      </c>
      <c r="H13" s="17"/>
      <c r="I13" s="17"/>
    </row>
    <row r="14" spans="1:9" ht="16.2" customHeight="1">
      <c r="A14" s="2">
        <v>46162</v>
      </c>
      <c r="B14" s="17">
        <v>61</v>
      </c>
      <c r="C14" s="17">
        <v>0</v>
      </c>
      <c r="D14" s="17">
        <v>1</v>
      </c>
      <c r="E14" s="17">
        <v>62</v>
      </c>
      <c r="F14" s="17">
        <v>145</v>
      </c>
      <c r="G14" s="17">
        <v>1</v>
      </c>
      <c r="H14" s="17">
        <v>2</v>
      </c>
      <c r="I14" s="17"/>
    </row>
    <row r="15" spans="1:9" ht="16.2" customHeight="1">
      <c r="A15" s="2">
        <v>46163</v>
      </c>
      <c r="B15" s="17">
        <v>67</v>
      </c>
      <c r="C15" s="17">
        <v>0</v>
      </c>
      <c r="D15" s="17">
        <v>1</v>
      </c>
      <c r="E15" s="17">
        <v>68</v>
      </c>
      <c r="F15" s="17">
        <v>107</v>
      </c>
      <c r="G15" s="17">
        <v>1</v>
      </c>
      <c r="H15" s="17"/>
      <c r="I15" s="17"/>
    </row>
    <row r="16" spans="1:9" ht="16.2" customHeight="1">
      <c r="A16" s="2">
        <v>46164</v>
      </c>
      <c r="B16" s="17">
        <v>88</v>
      </c>
      <c r="C16" s="17">
        <v>0</v>
      </c>
      <c r="D16" s="17">
        <v>0</v>
      </c>
      <c r="E16" s="17">
        <v>88</v>
      </c>
      <c r="F16" s="17">
        <v>94</v>
      </c>
      <c r="G16" s="17">
        <v>1</v>
      </c>
      <c r="H16" s="17"/>
      <c r="I16" s="17"/>
    </row>
    <row r="17" spans="1:9" ht="16.2" customHeight="1">
      <c r="A17" s="2">
        <v>46167</v>
      </c>
      <c r="B17" s="17">
        <v>85</v>
      </c>
      <c r="C17" s="17">
        <v>29</v>
      </c>
      <c r="D17" s="17">
        <v>2</v>
      </c>
      <c r="E17" s="17">
        <v>116</v>
      </c>
      <c r="F17" s="17">
        <v>125</v>
      </c>
      <c r="G17" s="17">
        <v>0</v>
      </c>
      <c r="H17" s="17">
        <v>0</v>
      </c>
      <c r="I17" s="17"/>
    </row>
    <row r="18" spans="1:9" ht="16.2" customHeight="1">
      <c r="A18" s="2">
        <v>46168</v>
      </c>
      <c r="B18" s="17">
        <v>93</v>
      </c>
      <c r="C18" s="17">
        <v>0</v>
      </c>
      <c r="D18" s="17">
        <v>0</v>
      </c>
      <c r="E18" s="17">
        <v>93</v>
      </c>
      <c r="F18" s="17">
        <v>170</v>
      </c>
      <c r="G18" s="17">
        <v>0</v>
      </c>
      <c r="H18" s="17"/>
      <c r="I18" s="17"/>
    </row>
    <row r="19" spans="1:9" ht="16.2" customHeight="1">
      <c r="A19" s="2">
        <v>46169</v>
      </c>
      <c r="B19" s="17">
        <v>78</v>
      </c>
      <c r="C19" s="17">
        <v>0</v>
      </c>
      <c r="D19" s="17">
        <v>1</v>
      </c>
      <c r="E19" s="17">
        <v>79</v>
      </c>
      <c r="F19" s="17">
        <v>98</v>
      </c>
      <c r="G19" s="17">
        <v>2</v>
      </c>
      <c r="H19" s="17">
        <v>6</v>
      </c>
      <c r="I19" s="17"/>
    </row>
    <row r="20" spans="1:9" ht="16.2" customHeight="1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 ht="16.2" customHeight="1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 ht="16.2" customHeight="1">
      <c r="A22" s="11" t="s">
        <v>7</v>
      </c>
      <c r="B22" s="12">
        <f t="shared" ref="B22:I22" si="1">SUM(B2:B21)</f>
        <v>1348</v>
      </c>
      <c r="C22" s="12">
        <f t="shared" si="1"/>
        <v>41</v>
      </c>
      <c r="D22" s="12">
        <f t="shared" si="1"/>
        <v>22</v>
      </c>
      <c r="E22" s="12">
        <f t="shared" si="1"/>
        <v>1411</v>
      </c>
      <c r="F22" s="12">
        <f t="shared" si="1"/>
        <v>2184</v>
      </c>
      <c r="G22" s="12">
        <f t="shared" si="1"/>
        <v>13</v>
      </c>
      <c r="H22" s="12">
        <f t="shared" si="1"/>
        <v>29</v>
      </c>
      <c r="I22" s="12">
        <f t="shared" si="1"/>
        <v>0</v>
      </c>
    </row>
    <row r="23" spans="1:9" ht="16.2" customHeight="1">
      <c r="A23" s="39" t="s">
        <v>14</v>
      </c>
      <c r="B23" s="39"/>
      <c r="C23" s="18"/>
      <c r="D23" s="18"/>
      <c r="E23" s="18"/>
      <c r="F23" s="18"/>
      <c r="G23" s="6" t="s">
        <v>8</v>
      </c>
      <c r="H23" s="18"/>
    </row>
    <row r="24" spans="1:9" ht="16.2" customHeight="1">
      <c r="A24" s="39"/>
      <c r="B24" s="39"/>
      <c r="C24" s="7" t="s">
        <v>9</v>
      </c>
      <c r="D24" s="7">
        <f>B22</f>
        <v>1348</v>
      </c>
      <c r="E24" s="3">
        <v>3</v>
      </c>
      <c r="F24" s="7">
        <f>SUM(D24*E24)</f>
        <v>4044</v>
      </c>
      <c r="G24" s="40">
        <f>SUM(F24+F25)</f>
        <v>4817</v>
      </c>
      <c r="H24" s="8"/>
    </row>
    <row r="25" spans="1:9" ht="16.2" customHeight="1">
      <c r="A25" s="39"/>
      <c r="B25" s="39"/>
      <c r="C25" s="7" t="s">
        <v>10</v>
      </c>
      <c r="D25" s="7">
        <f>F22</f>
        <v>2184</v>
      </c>
      <c r="E25" s="3">
        <f xml:space="preserve"> E22</f>
        <v>1411</v>
      </c>
      <c r="F25" s="7">
        <f>SUM(D25-E25)</f>
        <v>773</v>
      </c>
      <c r="G25" s="40"/>
      <c r="H25" s="8"/>
    </row>
    <row r="26" spans="1:9" ht="16.2" customHeight="1">
      <c r="A26" s="39"/>
      <c r="B26" s="39"/>
      <c r="C26" s="7" t="s">
        <v>11</v>
      </c>
      <c r="D26" s="7">
        <f>G22</f>
        <v>13</v>
      </c>
      <c r="E26" s="9">
        <v>3</v>
      </c>
      <c r="F26" s="7">
        <f>SUM(D26*E26)</f>
        <v>39</v>
      </c>
      <c r="G26" s="13">
        <f>SUM(F26+H22)</f>
        <v>68</v>
      </c>
      <c r="H26" s="8"/>
    </row>
    <row r="27" spans="1:9" ht="16.2" customHeight="1">
      <c r="A27" s="18"/>
      <c r="B27" s="18"/>
      <c r="C27" s="15"/>
      <c r="D27" s="15"/>
      <c r="E27" s="16"/>
      <c r="F27" s="7" t="s">
        <v>12</v>
      </c>
      <c r="G27" s="14">
        <f>SUM(G24+G26)</f>
        <v>4885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I28"/>
  <sheetViews>
    <sheetView zoomScale="85" zoomScaleNormal="85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 ht="16.2" customHeight="1">
      <c r="A2" s="2">
        <v>46146</v>
      </c>
      <c r="B2" s="17">
        <v>61</v>
      </c>
      <c r="C2" s="17">
        <v>0</v>
      </c>
      <c r="D2" s="17">
        <v>2</v>
      </c>
      <c r="E2" s="17">
        <v>63</v>
      </c>
      <c r="F2" s="17">
        <v>82</v>
      </c>
      <c r="G2" s="17">
        <v>0</v>
      </c>
      <c r="H2" s="17"/>
      <c r="I2" s="17"/>
    </row>
    <row r="3" spans="1:9" ht="16.2" customHeight="1">
      <c r="A3" s="2">
        <v>46147</v>
      </c>
      <c r="B3" s="17">
        <v>50</v>
      </c>
      <c r="C3" s="17">
        <v>0</v>
      </c>
      <c r="D3" s="17">
        <v>0</v>
      </c>
      <c r="E3" s="17">
        <v>50</v>
      </c>
      <c r="F3" s="17">
        <v>66</v>
      </c>
      <c r="G3" s="17">
        <v>0</v>
      </c>
      <c r="H3" s="17"/>
      <c r="I3" s="17"/>
    </row>
    <row r="4" spans="1:9" s="19" customFormat="1" ht="16.2" customHeight="1">
      <c r="A4" s="2">
        <v>46148</v>
      </c>
      <c r="B4" s="17">
        <v>44</v>
      </c>
      <c r="C4" s="17">
        <v>0</v>
      </c>
      <c r="D4" s="17">
        <v>0</v>
      </c>
      <c r="E4" s="17">
        <v>44</v>
      </c>
      <c r="F4" s="17">
        <v>44</v>
      </c>
      <c r="G4" s="17">
        <v>0</v>
      </c>
      <c r="H4" s="17"/>
      <c r="I4" s="17"/>
    </row>
    <row r="5" spans="1:9" s="19" customFormat="1" ht="16.2" customHeight="1">
      <c r="A5" s="2">
        <v>46149</v>
      </c>
      <c r="B5" s="17">
        <v>36</v>
      </c>
      <c r="C5" s="17">
        <v>0</v>
      </c>
      <c r="D5" s="17">
        <v>0</v>
      </c>
      <c r="E5" s="17">
        <v>36</v>
      </c>
      <c r="F5" s="17">
        <v>40</v>
      </c>
      <c r="G5" s="17">
        <v>0</v>
      </c>
      <c r="H5" s="17"/>
      <c r="I5" s="17"/>
    </row>
    <row r="6" spans="1:9" ht="16.2" customHeight="1">
      <c r="A6" s="2">
        <v>46150</v>
      </c>
      <c r="B6" s="17">
        <v>42</v>
      </c>
      <c r="C6" s="17">
        <v>0</v>
      </c>
      <c r="D6" s="17">
        <v>0</v>
      </c>
      <c r="E6" s="17">
        <v>42</v>
      </c>
      <c r="F6" s="17">
        <v>87</v>
      </c>
      <c r="G6" s="17">
        <v>0</v>
      </c>
      <c r="H6" s="17"/>
      <c r="I6" s="17"/>
    </row>
    <row r="7" spans="1:9" ht="16.2" customHeight="1">
      <c r="A7" s="2">
        <v>46153</v>
      </c>
      <c r="B7" s="17">
        <v>57</v>
      </c>
      <c r="C7" s="17">
        <v>0</v>
      </c>
      <c r="D7" s="17">
        <v>5</v>
      </c>
      <c r="E7" s="17">
        <v>62</v>
      </c>
      <c r="F7" s="17">
        <v>59</v>
      </c>
      <c r="G7" s="17">
        <v>0</v>
      </c>
      <c r="H7" s="17"/>
      <c r="I7" s="17"/>
    </row>
    <row r="8" spans="1:9" ht="16.2" customHeight="1">
      <c r="A8" s="2">
        <v>46154</v>
      </c>
      <c r="B8" s="17">
        <v>55</v>
      </c>
      <c r="C8" s="17">
        <v>0</v>
      </c>
      <c r="D8" s="17">
        <v>0</v>
      </c>
      <c r="E8" s="17">
        <v>55</v>
      </c>
      <c r="F8" s="17">
        <v>66</v>
      </c>
      <c r="G8" s="17">
        <v>0</v>
      </c>
      <c r="H8" s="17"/>
      <c r="I8" s="17"/>
    </row>
    <row r="9" spans="1:9" ht="16.2" customHeight="1">
      <c r="A9" s="2">
        <v>46155</v>
      </c>
      <c r="B9" s="17">
        <v>26</v>
      </c>
      <c r="C9" s="17">
        <v>0</v>
      </c>
      <c r="D9" s="17">
        <v>0</v>
      </c>
      <c r="E9" s="17">
        <v>26</v>
      </c>
      <c r="F9" s="17">
        <v>42</v>
      </c>
      <c r="G9" s="17">
        <v>0</v>
      </c>
      <c r="H9" s="17"/>
      <c r="I9" s="17"/>
    </row>
    <row r="10" spans="1:9" ht="16.2" customHeight="1">
      <c r="A10" s="2">
        <v>46156</v>
      </c>
      <c r="B10" s="17">
        <v>32</v>
      </c>
      <c r="C10" s="17">
        <v>0</v>
      </c>
      <c r="D10" s="17">
        <v>0</v>
      </c>
      <c r="E10" s="17">
        <v>32</v>
      </c>
      <c r="F10" s="17">
        <v>37</v>
      </c>
      <c r="G10" s="17">
        <v>0</v>
      </c>
      <c r="H10" s="17"/>
      <c r="I10" s="17"/>
    </row>
    <row r="11" spans="1:9" ht="16.2" customHeight="1">
      <c r="A11" s="2">
        <v>46157</v>
      </c>
      <c r="B11" s="17">
        <v>35</v>
      </c>
      <c r="C11" s="17">
        <v>0</v>
      </c>
      <c r="D11" s="17">
        <v>1</v>
      </c>
      <c r="E11" s="17">
        <v>36</v>
      </c>
      <c r="F11" s="17">
        <v>44</v>
      </c>
      <c r="G11" s="17">
        <v>0</v>
      </c>
      <c r="H11" s="17"/>
      <c r="I11" s="17"/>
    </row>
    <row r="12" spans="1:9" ht="16.2" customHeight="1">
      <c r="A12" s="2">
        <v>46160</v>
      </c>
      <c r="B12" s="17">
        <v>86</v>
      </c>
      <c r="C12" s="17">
        <v>0</v>
      </c>
      <c r="D12" s="17">
        <v>3</v>
      </c>
      <c r="E12" s="17">
        <v>89</v>
      </c>
      <c r="F12" s="17">
        <v>108</v>
      </c>
      <c r="G12" s="17">
        <v>0</v>
      </c>
      <c r="H12" s="17"/>
      <c r="I12" s="17"/>
    </row>
    <row r="13" spans="1:9" ht="16.2" customHeight="1">
      <c r="A13" s="2">
        <v>46161</v>
      </c>
      <c r="B13" s="17">
        <v>36</v>
      </c>
      <c r="C13" s="17">
        <v>0</v>
      </c>
      <c r="D13" s="17">
        <v>0</v>
      </c>
      <c r="E13" s="17">
        <v>36</v>
      </c>
      <c r="F13" s="17">
        <v>59</v>
      </c>
      <c r="G13" s="17">
        <v>2</v>
      </c>
      <c r="H13" s="17">
        <v>4</v>
      </c>
      <c r="I13" s="17"/>
    </row>
    <row r="14" spans="1:9" ht="16.2" customHeight="1">
      <c r="A14" s="2">
        <v>46162</v>
      </c>
      <c r="B14" s="17">
        <v>30</v>
      </c>
      <c r="C14" s="17">
        <v>0</v>
      </c>
      <c r="D14" s="17">
        <v>2</v>
      </c>
      <c r="E14" s="17">
        <v>32</v>
      </c>
      <c r="F14" s="17">
        <v>41</v>
      </c>
      <c r="G14" s="17">
        <v>0</v>
      </c>
      <c r="H14" s="17"/>
      <c r="I14" s="17"/>
    </row>
    <row r="15" spans="1:9" ht="16.2" customHeight="1">
      <c r="A15" s="2">
        <v>46163</v>
      </c>
      <c r="B15" s="17">
        <v>48</v>
      </c>
      <c r="C15" s="17">
        <v>0</v>
      </c>
      <c r="D15" s="17">
        <v>0</v>
      </c>
      <c r="E15" s="17">
        <v>48</v>
      </c>
      <c r="F15" s="17">
        <v>69</v>
      </c>
      <c r="G15" s="17">
        <v>0</v>
      </c>
      <c r="H15" s="17"/>
      <c r="I15" s="17"/>
    </row>
    <row r="16" spans="1:9" ht="16.2" customHeight="1">
      <c r="A16" s="2">
        <v>46164</v>
      </c>
      <c r="B16" s="17">
        <v>31</v>
      </c>
      <c r="C16" s="17">
        <v>0</v>
      </c>
      <c r="D16" s="17">
        <v>0</v>
      </c>
      <c r="E16" s="17">
        <v>31</v>
      </c>
      <c r="F16" s="17">
        <v>31</v>
      </c>
      <c r="G16" s="17">
        <v>0</v>
      </c>
      <c r="H16" s="17"/>
      <c r="I16" s="17"/>
    </row>
    <row r="17" spans="1:9" ht="16.2" customHeight="1">
      <c r="A17" s="2">
        <v>46167</v>
      </c>
      <c r="B17" s="17">
        <v>90</v>
      </c>
      <c r="C17" s="17">
        <v>0</v>
      </c>
      <c r="D17" s="17">
        <v>3</v>
      </c>
      <c r="E17" s="17">
        <v>93</v>
      </c>
      <c r="F17" s="17">
        <v>93</v>
      </c>
      <c r="G17" s="17">
        <v>0</v>
      </c>
      <c r="H17" s="17">
        <v>0</v>
      </c>
      <c r="I17" s="17"/>
    </row>
    <row r="18" spans="1:9" ht="16.2" customHeight="1">
      <c r="A18" s="2">
        <v>46168</v>
      </c>
      <c r="B18" s="17">
        <v>38</v>
      </c>
      <c r="C18" s="17">
        <v>0</v>
      </c>
      <c r="D18" s="17">
        <v>1</v>
      </c>
      <c r="E18" s="17">
        <v>39</v>
      </c>
      <c r="F18" s="17">
        <v>64</v>
      </c>
      <c r="G18" s="17">
        <v>0</v>
      </c>
      <c r="H18" s="17"/>
      <c r="I18" s="17"/>
    </row>
    <row r="19" spans="1:9" ht="16.2" customHeight="1">
      <c r="A19" s="2">
        <v>46169</v>
      </c>
      <c r="B19" s="17">
        <v>52</v>
      </c>
      <c r="C19" s="17">
        <v>0</v>
      </c>
      <c r="D19" s="17">
        <v>2</v>
      </c>
      <c r="E19" s="17">
        <v>54</v>
      </c>
      <c r="F19" s="17">
        <v>68</v>
      </c>
      <c r="G19" s="17">
        <v>0</v>
      </c>
      <c r="H19" s="17">
        <v>0</v>
      </c>
      <c r="I19" s="17"/>
    </row>
    <row r="20" spans="1:9" ht="16.2" customHeight="1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 ht="16.2" customHeight="1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 ht="16.2" customHeight="1">
      <c r="A22" s="11" t="s">
        <v>7</v>
      </c>
      <c r="B22" s="12">
        <f t="shared" ref="B22:I22" si="1">SUM(B2:B21)</f>
        <v>849</v>
      </c>
      <c r="C22" s="12">
        <f t="shared" si="1"/>
        <v>0</v>
      </c>
      <c r="D22" s="12">
        <f t="shared" si="1"/>
        <v>19</v>
      </c>
      <c r="E22" s="12">
        <f t="shared" si="1"/>
        <v>868</v>
      </c>
      <c r="F22" s="12">
        <f t="shared" si="1"/>
        <v>1100</v>
      </c>
      <c r="G22" s="12">
        <f t="shared" si="1"/>
        <v>2</v>
      </c>
      <c r="H22" s="12">
        <f t="shared" si="1"/>
        <v>4</v>
      </c>
      <c r="I22" s="12">
        <f t="shared" si="1"/>
        <v>0</v>
      </c>
    </row>
    <row r="23" spans="1:9" ht="16.2" customHeight="1">
      <c r="A23" s="39" t="s">
        <v>17</v>
      </c>
      <c r="B23" s="39"/>
      <c r="C23" s="18"/>
      <c r="D23" s="18"/>
      <c r="E23" s="18"/>
      <c r="F23" s="18"/>
      <c r="G23" s="6" t="s">
        <v>8</v>
      </c>
      <c r="H23" s="18"/>
    </row>
    <row r="24" spans="1:9" ht="16.2" customHeight="1">
      <c r="A24" s="39"/>
      <c r="B24" s="39"/>
      <c r="C24" s="7" t="s">
        <v>9</v>
      </c>
      <c r="D24" s="7">
        <f>B22</f>
        <v>849</v>
      </c>
      <c r="E24" s="3">
        <v>3</v>
      </c>
      <c r="F24" s="7">
        <f>SUM(D24*E24)</f>
        <v>2547</v>
      </c>
      <c r="G24" s="40">
        <f>SUM(F24+F25)</f>
        <v>2779</v>
      </c>
      <c r="H24" s="8"/>
    </row>
    <row r="25" spans="1:9" ht="16.2" customHeight="1">
      <c r="A25" s="39"/>
      <c r="B25" s="39"/>
      <c r="C25" s="7" t="s">
        <v>10</v>
      </c>
      <c r="D25" s="7">
        <f>F22</f>
        <v>1100</v>
      </c>
      <c r="E25" s="3">
        <f xml:space="preserve"> E22</f>
        <v>868</v>
      </c>
      <c r="F25" s="7">
        <f>SUM(D25-E25)</f>
        <v>232</v>
      </c>
      <c r="G25" s="40"/>
      <c r="H25" s="8"/>
    </row>
    <row r="26" spans="1:9" ht="16.2" customHeight="1">
      <c r="A26" s="39"/>
      <c r="B26" s="39"/>
      <c r="C26" s="7" t="s">
        <v>11</v>
      </c>
      <c r="D26" s="7">
        <f>G22</f>
        <v>2</v>
      </c>
      <c r="E26" s="9">
        <v>3</v>
      </c>
      <c r="F26" s="7">
        <f>SUM(D26*E26)</f>
        <v>6</v>
      </c>
      <c r="G26" s="13">
        <f>SUM(F26+H22)</f>
        <v>10</v>
      </c>
      <c r="H26" s="8"/>
    </row>
    <row r="27" spans="1:9" ht="16.2" customHeight="1">
      <c r="A27" s="18"/>
      <c r="B27" s="18"/>
      <c r="C27" s="15"/>
      <c r="D27" s="15"/>
      <c r="E27" s="16"/>
      <c r="F27" s="7" t="s">
        <v>12</v>
      </c>
      <c r="G27" s="14">
        <f>SUM(G24+G26)</f>
        <v>2789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I28"/>
  <sheetViews>
    <sheetView zoomScale="85" zoomScaleNormal="85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 ht="16.2" customHeight="1">
      <c r="A2" s="2">
        <v>46146</v>
      </c>
      <c r="B2" s="17">
        <v>109</v>
      </c>
      <c r="C2" s="17">
        <v>0</v>
      </c>
      <c r="D2" s="17">
        <v>1</v>
      </c>
      <c r="E2" s="17">
        <v>110</v>
      </c>
      <c r="F2" s="17">
        <v>127</v>
      </c>
      <c r="G2" s="17">
        <v>0</v>
      </c>
      <c r="H2" s="17"/>
      <c r="I2" s="17"/>
    </row>
    <row r="3" spans="1:9" ht="16.2" customHeight="1">
      <c r="A3" s="2">
        <v>46147</v>
      </c>
      <c r="B3" s="17">
        <v>111</v>
      </c>
      <c r="C3" s="17">
        <v>0</v>
      </c>
      <c r="D3" s="17">
        <v>1</v>
      </c>
      <c r="E3" s="17">
        <v>112</v>
      </c>
      <c r="F3" s="17">
        <v>111</v>
      </c>
      <c r="G3" s="17">
        <v>2</v>
      </c>
      <c r="H3" s="17"/>
      <c r="I3" s="17"/>
    </row>
    <row r="4" spans="1:9" s="19" customFormat="1" ht="16.2" customHeight="1">
      <c r="A4" s="2">
        <v>46148</v>
      </c>
      <c r="B4" s="17">
        <v>98</v>
      </c>
      <c r="C4" s="17">
        <v>0</v>
      </c>
      <c r="D4" s="17">
        <v>2</v>
      </c>
      <c r="E4" s="17">
        <v>100</v>
      </c>
      <c r="F4" s="17">
        <v>103</v>
      </c>
      <c r="G4" s="17">
        <v>0</v>
      </c>
      <c r="H4" s="17"/>
      <c r="I4" s="17"/>
    </row>
    <row r="5" spans="1:9" s="19" customFormat="1" ht="16.2" customHeight="1">
      <c r="A5" s="2">
        <v>46149</v>
      </c>
      <c r="B5" s="17">
        <v>95</v>
      </c>
      <c r="C5" s="17">
        <v>0</v>
      </c>
      <c r="D5" s="17">
        <v>0</v>
      </c>
      <c r="E5" s="17">
        <v>95</v>
      </c>
      <c r="F5" s="17">
        <v>98</v>
      </c>
      <c r="G5" s="17">
        <v>2</v>
      </c>
      <c r="H5" s="17"/>
      <c r="I5" s="17"/>
    </row>
    <row r="6" spans="1:9" ht="16.2" customHeight="1">
      <c r="A6" s="2">
        <v>46150</v>
      </c>
      <c r="B6" s="17">
        <v>95</v>
      </c>
      <c r="C6" s="17">
        <v>0</v>
      </c>
      <c r="D6" s="17">
        <v>0</v>
      </c>
      <c r="E6" s="17">
        <v>95</v>
      </c>
      <c r="F6" s="17">
        <v>126</v>
      </c>
      <c r="G6" s="17">
        <v>1</v>
      </c>
      <c r="H6" s="17"/>
      <c r="I6" s="17"/>
    </row>
    <row r="7" spans="1:9" ht="16.2" customHeight="1">
      <c r="A7" s="2">
        <v>46153</v>
      </c>
      <c r="B7" s="17">
        <v>116</v>
      </c>
      <c r="C7" s="17">
        <v>0</v>
      </c>
      <c r="D7" s="17">
        <v>3</v>
      </c>
      <c r="E7" s="17">
        <v>119</v>
      </c>
      <c r="F7" s="17">
        <v>117</v>
      </c>
      <c r="G7" s="17">
        <v>0</v>
      </c>
      <c r="H7" s="17"/>
      <c r="I7" s="17"/>
    </row>
    <row r="8" spans="1:9" ht="16.2" customHeight="1">
      <c r="A8" s="2">
        <v>46154</v>
      </c>
      <c r="B8" s="17">
        <v>103</v>
      </c>
      <c r="C8" s="17">
        <v>0</v>
      </c>
      <c r="D8" s="17">
        <v>2</v>
      </c>
      <c r="E8" s="17">
        <v>105</v>
      </c>
      <c r="F8" s="17">
        <v>104</v>
      </c>
      <c r="G8" s="17">
        <v>1</v>
      </c>
      <c r="H8" s="17"/>
      <c r="I8" s="17"/>
    </row>
    <row r="9" spans="1:9" ht="16.2" customHeight="1">
      <c r="A9" s="2">
        <v>46155</v>
      </c>
      <c r="B9" s="17">
        <v>65</v>
      </c>
      <c r="C9" s="17">
        <v>0</v>
      </c>
      <c r="D9" s="17">
        <v>2</v>
      </c>
      <c r="E9" s="17">
        <v>67</v>
      </c>
      <c r="F9" s="17">
        <v>65</v>
      </c>
      <c r="G9" s="17">
        <v>1</v>
      </c>
      <c r="H9" s="17"/>
      <c r="I9" s="17"/>
    </row>
    <row r="10" spans="1:9" ht="16.2" customHeight="1">
      <c r="A10" s="2">
        <v>46156</v>
      </c>
      <c r="B10" s="17">
        <v>85</v>
      </c>
      <c r="C10" s="17">
        <v>0</v>
      </c>
      <c r="D10" s="17">
        <v>0</v>
      </c>
      <c r="E10" s="17">
        <v>85</v>
      </c>
      <c r="F10" s="17">
        <v>85</v>
      </c>
      <c r="G10" s="17">
        <v>2</v>
      </c>
      <c r="H10" s="17">
        <v>3</v>
      </c>
      <c r="I10" s="17"/>
    </row>
    <row r="11" spans="1:9" ht="16.2" customHeight="1">
      <c r="A11" s="2">
        <v>46157</v>
      </c>
      <c r="B11" s="17">
        <v>103</v>
      </c>
      <c r="C11" s="17">
        <v>0</v>
      </c>
      <c r="D11" s="17">
        <v>4</v>
      </c>
      <c r="E11" s="17">
        <v>107</v>
      </c>
      <c r="F11" s="17">
        <v>107</v>
      </c>
      <c r="G11" s="17">
        <v>1</v>
      </c>
      <c r="H11" s="17">
        <v>2</v>
      </c>
      <c r="I11" s="17"/>
    </row>
    <row r="12" spans="1:9" ht="16.2" customHeight="1">
      <c r="A12" s="2">
        <v>46160</v>
      </c>
      <c r="B12" s="17">
        <v>160</v>
      </c>
      <c r="C12" s="17">
        <v>0</v>
      </c>
      <c r="D12" s="17">
        <v>3</v>
      </c>
      <c r="E12" s="17">
        <v>163</v>
      </c>
      <c r="F12" s="17">
        <v>173</v>
      </c>
      <c r="G12" s="17">
        <v>0</v>
      </c>
      <c r="H12" s="17"/>
      <c r="I12" s="17"/>
    </row>
    <row r="13" spans="1:9" ht="16.2" customHeight="1">
      <c r="A13" s="2">
        <v>46161</v>
      </c>
      <c r="B13" s="17">
        <v>100</v>
      </c>
      <c r="C13" s="17">
        <v>0</v>
      </c>
      <c r="D13" s="17">
        <v>4</v>
      </c>
      <c r="E13" s="17">
        <v>104</v>
      </c>
      <c r="F13" s="17">
        <v>101</v>
      </c>
      <c r="G13" s="17">
        <v>4</v>
      </c>
      <c r="H13" s="17">
        <v>15</v>
      </c>
      <c r="I13" s="17"/>
    </row>
    <row r="14" spans="1:9" ht="16.2" customHeight="1">
      <c r="A14" s="2">
        <v>46162</v>
      </c>
      <c r="B14" s="17">
        <v>96</v>
      </c>
      <c r="C14" s="17">
        <v>0</v>
      </c>
      <c r="D14" s="17">
        <v>4</v>
      </c>
      <c r="E14" s="17">
        <v>100</v>
      </c>
      <c r="F14" s="17">
        <v>102</v>
      </c>
      <c r="G14" s="17">
        <v>1</v>
      </c>
      <c r="H14" s="17"/>
      <c r="I14" s="17"/>
    </row>
    <row r="15" spans="1:9" ht="16.2" customHeight="1">
      <c r="A15" s="2">
        <v>46163</v>
      </c>
      <c r="B15" s="17">
        <v>121</v>
      </c>
      <c r="C15" s="17">
        <v>0</v>
      </c>
      <c r="D15" s="17">
        <v>5</v>
      </c>
      <c r="E15" s="17">
        <v>126</v>
      </c>
      <c r="F15" s="17">
        <v>123</v>
      </c>
      <c r="G15" s="17">
        <v>3</v>
      </c>
      <c r="H15" s="17"/>
      <c r="I15" s="17"/>
    </row>
    <row r="16" spans="1:9" ht="16.2" customHeight="1">
      <c r="A16" s="2">
        <v>46164</v>
      </c>
      <c r="B16" s="17">
        <v>123</v>
      </c>
      <c r="C16" s="17">
        <v>0</v>
      </c>
      <c r="D16" s="17">
        <v>9</v>
      </c>
      <c r="E16" s="17">
        <v>132</v>
      </c>
      <c r="F16" s="17">
        <v>125</v>
      </c>
      <c r="G16" s="17">
        <v>0</v>
      </c>
      <c r="H16" s="17"/>
      <c r="I16" s="17"/>
    </row>
    <row r="17" spans="1:9" ht="16.2" customHeight="1">
      <c r="A17" s="2">
        <v>46167</v>
      </c>
      <c r="B17" s="17">
        <v>144</v>
      </c>
      <c r="C17" s="17">
        <v>0</v>
      </c>
      <c r="D17" s="17">
        <v>6</v>
      </c>
      <c r="E17" s="17">
        <v>150</v>
      </c>
      <c r="F17" s="17">
        <v>148</v>
      </c>
      <c r="G17" s="17">
        <v>0</v>
      </c>
      <c r="H17" s="17">
        <v>0</v>
      </c>
      <c r="I17" s="17"/>
    </row>
    <row r="18" spans="1:9" ht="16.2" customHeight="1">
      <c r="A18" s="2">
        <v>46168</v>
      </c>
      <c r="B18" s="17">
        <v>112</v>
      </c>
      <c r="C18" s="17">
        <v>0</v>
      </c>
      <c r="D18" s="17">
        <v>4</v>
      </c>
      <c r="E18" s="17">
        <v>116</v>
      </c>
      <c r="F18" s="17">
        <v>112</v>
      </c>
      <c r="G18" s="17">
        <v>2</v>
      </c>
      <c r="H18" s="17">
        <v>5</v>
      </c>
      <c r="I18" s="17"/>
    </row>
    <row r="19" spans="1:9" ht="16.2" customHeight="1">
      <c r="A19" s="2">
        <v>46169</v>
      </c>
      <c r="B19" s="17">
        <v>108</v>
      </c>
      <c r="C19" s="17">
        <v>0</v>
      </c>
      <c r="D19" s="17">
        <v>5</v>
      </c>
      <c r="E19" s="17">
        <v>113</v>
      </c>
      <c r="F19" s="17">
        <v>117</v>
      </c>
      <c r="G19" s="17">
        <v>2</v>
      </c>
      <c r="H19" s="17">
        <v>16</v>
      </c>
      <c r="I19" s="17"/>
    </row>
    <row r="20" spans="1:9" ht="16.2" customHeight="1">
      <c r="A20" s="2">
        <v>46170</v>
      </c>
      <c r="B20" s="17"/>
      <c r="C20" s="17"/>
      <c r="D20" s="17"/>
      <c r="E20" s="17"/>
      <c r="F20" s="17"/>
      <c r="G20" s="17"/>
      <c r="H20" s="17"/>
      <c r="I20" s="17"/>
    </row>
    <row r="21" spans="1:9" ht="16.2" customHeight="1">
      <c r="A21" s="2">
        <v>46171</v>
      </c>
      <c r="B21" s="17"/>
      <c r="C21" s="17"/>
      <c r="D21" s="17"/>
      <c r="E21" s="17"/>
      <c r="F21" s="17"/>
      <c r="G21" s="17"/>
      <c r="H21" s="17"/>
      <c r="I21" s="17"/>
    </row>
    <row r="22" spans="1:9" ht="16.2" customHeight="1">
      <c r="A22" s="11" t="s">
        <v>7</v>
      </c>
      <c r="B22" s="12">
        <f t="shared" ref="B22:I22" si="0">SUM(B2:B21)</f>
        <v>1944</v>
      </c>
      <c r="C22" s="12">
        <f t="shared" si="0"/>
        <v>0</v>
      </c>
      <c r="D22" s="12">
        <f t="shared" si="0"/>
        <v>55</v>
      </c>
      <c r="E22" s="12">
        <f t="shared" si="0"/>
        <v>1999</v>
      </c>
      <c r="F22" s="12">
        <f t="shared" si="0"/>
        <v>2044</v>
      </c>
      <c r="G22" s="12">
        <f t="shared" si="0"/>
        <v>22</v>
      </c>
      <c r="H22" s="12">
        <f t="shared" si="0"/>
        <v>41</v>
      </c>
      <c r="I22" s="12">
        <f t="shared" si="0"/>
        <v>0</v>
      </c>
    </row>
    <row r="23" spans="1:9" ht="16.2" customHeight="1">
      <c r="A23" s="39" t="s">
        <v>19</v>
      </c>
      <c r="B23" s="39"/>
      <c r="C23" s="18"/>
      <c r="D23" s="18"/>
      <c r="E23" s="18"/>
      <c r="F23" s="18"/>
      <c r="G23" s="6" t="s">
        <v>8</v>
      </c>
      <c r="H23" s="18"/>
    </row>
    <row r="24" spans="1:9" ht="16.2" customHeight="1">
      <c r="A24" s="39"/>
      <c r="B24" s="39"/>
      <c r="C24" s="7" t="s">
        <v>9</v>
      </c>
      <c r="D24" s="7">
        <f>B22</f>
        <v>1944</v>
      </c>
      <c r="E24" s="3">
        <v>3</v>
      </c>
      <c r="F24" s="7">
        <f>SUM(D24*E24)</f>
        <v>5832</v>
      </c>
      <c r="G24" s="40">
        <f>SUM(F24+F25)</f>
        <v>5877</v>
      </c>
      <c r="H24" s="8"/>
    </row>
    <row r="25" spans="1:9" ht="16.2" customHeight="1">
      <c r="A25" s="39"/>
      <c r="B25" s="39"/>
      <c r="C25" s="7" t="s">
        <v>10</v>
      </c>
      <c r="D25" s="7">
        <f>F22</f>
        <v>2044</v>
      </c>
      <c r="E25" s="3">
        <f xml:space="preserve"> E22</f>
        <v>1999</v>
      </c>
      <c r="F25" s="7">
        <f>SUM(D25-E25)</f>
        <v>45</v>
      </c>
      <c r="G25" s="40"/>
      <c r="H25" s="8"/>
    </row>
    <row r="26" spans="1:9" ht="16.2" customHeight="1">
      <c r="A26" s="39"/>
      <c r="B26" s="39"/>
      <c r="C26" s="7" t="s">
        <v>11</v>
      </c>
      <c r="D26" s="7">
        <f>G22</f>
        <v>22</v>
      </c>
      <c r="E26" s="9">
        <v>3</v>
      </c>
      <c r="F26" s="7">
        <f>SUM(D26*E26)</f>
        <v>66</v>
      </c>
      <c r="G26" s="13">
        <f>SUM(F26+H22)</f>
        <v>107</v>
      </c>
      <c r="H26" s="8"/>
    </row>
    <row r="27" spans="1:9" ht="16.2" customHeight="1">
      <c r="A27" s="18"/>
      <c r="B27" s="18"/>
      <c r="C27" s="15"/>
      <c r="D27" s="15"/>
      <c r="E27" s="16"/>
      <c r="F27" s="7" t="s">
        <v>12</v>
      </c>
      <c r="G27" s="14">
        <f>SUM(G24+G26)</f>
        <v>5984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I28"/>
  <sheetViews>
    <sheetView zoomScale="76" zoomScaleNormal="76" workbookViewId="0">
      <selection activeCell="B19" sqref="B19:I19"/>
    </sheetView>
  </sheetViews>
  <sheetFormatPr defaultRowHeight="16.2"/>
  <cols>
    <col min="1" max="1" width="9.77734375" customWidth="1"/>
    <col min="2" max="3" width="8.77734375" customWidth="1"/>
    <col min="4" max="4" width="9.77734375" customWidth="1"/>
    <col min="5" max="6" width="14.77734375" customWidth="1"/>
    <col min="7" max="7" width="8.77734375" customWidth="1"/>
    <col min="8" max="8" width="14.77734375" customWidth="1"/>
    <col min="9" max="9" width="12.44140625" bestFit="1" customWidth="1"/>
  </cols>
  <sheetData>
    <row r="1" spans="1:9" ht="22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1" t="s">
        <v>13</v>
      </c>
    </row>
    <row r="2" spans="1:9" ht="16.2" customHeight="1">
      <c r="A2" s="2">
        <v>46146</v>
      </c>
      <c r="B2" s="17">
        <v>74</v>
      </c>
      <c r="C2" s="17">
        <v>0</v>
      </c>
      <c r="D2" s="17">
        <v>7</v>
      </c>
      <c r="E2" s="17">
        <v>81</v>
      </c>
      <c r="F2" s="17">
        <v>76</v>
      </c>
      <c r="G2" s="17">
        <v>1</v>
      </c>
      <c r="H2" s="17"/>
      <c r="I2" s="17"/>
    </row>
    <row r="3" spans="1:9" ht="16.2" customHeight="1">
      <c r="A3" s="2">
        <v>46147</v>
      </c>
      <c r="B3" s="17">
        <v>73</v>
      </c>
      <c r="C3" s="17">
        <v>0</v>
      </c>
      <c r="D3" s="17">
        <v>3</v>
      </c>
      <c r="E3" s="17">
        <v>76</v>
      </c>
      <c r="F3" s="17">
        <v>74</v>
      </c>
      <c r="G3" s="17">
        <v>2</v>
      </c>
      <c r="H3" s="17">
        <v>39</v>
      </c>
      <c r="I3" s="17"/>
    </row>
    <row r="4" spans="1:9" s="19" customFormat="1" ht="16.2" customHeight="1">
      <c r="A4" s="2">
        <v>46148</v>
      </c>
      <c r="B4" s="17">
        <v>73</v>
      </c>
      <c r="C4" s="17">
        <v>0</v>
      </c>
      <c r="D4" s="17">
        <v>10</v>
      </c>
      <c r="E4" s="17">
        <v>83</v>
      </c>
      <c r="F4" s="17">
        <v>75</v>
      </c>
      <c r="G4" s="17">
        <v>0</v>
      </c>
      <c r="H4" s="17"/>
      <c r="I4" s="17"/>
    </row>
    <row r="5" spans="1:9" s="19" customFormat="1" ht="16.2" customHeight="1">
      <c r="A5" s="2">
        <v>46149</v>
      </c>
      <c r="B5" s="17"/>
      <c r="C5" s="17"/>
      <c r="D5" s="17"/>
      <c r="E5" s="17">
        <v>0</v>
      </c>
      <c r="F5" s="17"/>
      <c r="G5" s="17"/>
      <c r="H5" s="17"/>
      <c r="I5" s="17"/>
    </row>
    <row r="6" spans="1:9" ht="16.2" customHeight="1">
      <c r="A6" s="2">
        <v>46150</v>
      </c>
      <c r="B6" s="17">
        <v>62</v>
      </c>
      <c r="C6" s="17">
        <v>0</v>
      </c>
      <c r="D6" s="17">
        <v>1</v>
      </c>
      <c r="E6" s="17">
        <v>63</v>
      </c>
      <c r="F6" s="17">
        <v>81</v>
      </c>
      <c r="G6" s="17">
        <v>1</v>
      </c>
      <c r="H6" s="17"/>
      <c r="I6" s="17"/>
    </row>
    <row r="7" spans="1:9" ht="16.2" customHeight="1">
      <c r="A7" s="2">
        <v>46153</v>
      </c>
      <c r="B7" s="17">
        <v>69</v>
      </c>
      <c r="C7" s="17">
        <v>0</v>
      </c>
      <c r="D7" s="17">
        <v>8</v>
      </c>
      <c r="E7" s="17">
        <v>77</v>
      </c>
      <c r="F7" s="17">
        <v>69</v>
      </c>
      <c r="G7" s="17">
        <v>1</v>
      </c>
      <c r="H7" s="17"/>
      <c r="I7" s="17"/>
    </row>
    <row r="8" spans="1:9" ht="16.2" customHeight="1">
      <c r="A8" s="2">
        <v>46154</v>
      </c>
      <c r="B8" s="17">
        <v>60</v>
      </c>
      <c r="C8" s="17">
        <v>0</v>
      </c>
      <c r="D8" s="17">
        <v>3</v>
      </c>
      <c r="E8" s="17">
        <v>63</v>
      </c>
      <c r="F8" s="17">
        <v>64</v>
      </c>
      <c r="G8" s="17">
        <v>1</v>
      </c>
      <c r="H8" s="17">
        <v>34</v>
      </c>
      <c r="I8" s="17"/>
    </row>
    <row r="9" spans="1:9" ht="16.2" customHeight="1">
      <c r="A9" s="2">
        <v>46155</v>
      </c>
      <c r="B9" s="17">
        <v>41</v>
      </c>
      <c r="C9" s="17">
        <v>0</v>
      </c>
      <c r="D9" s="17">
        <v>1</v>
      </c>
      <c r="E9" s="17">
        <v>42</v>
      </c>
      <c r="F9" s="17">
        <v>45</v>
      </c>
      <c r="G9" s="17">
        <v>1</v>
      </c>
      <c r="H9" s="17">
        <v>17</v>
      </c>
      <c r="I9" s="17"/>
    </row>
    <row r="10" spans="1:9" ht="16.2" customHeight="1">
      <c r="A10" s="2">
        <v>46156</v>
      </c>
      <c r="B10" s="17"/>
      <c r="C10" s="17"/>
      <c r="D10" s="17"/>
      <c r="E10" s="17">
        <v>0</v>
      </c>
      <c r="F10" s="17"/>
      <c r="G10" s="17"/>
      <c r="H10" s="17"/>
      <c r="I10" s="17"/>
    </row>
    <row r="11" spans="1:9" ht="16.2" customHeight="1">
      <c r="A11" s="2">
        <v>46157</v>
      </c>
      <c r="B11" s="17">
        <v>64</v>
      </c>
      <c r="C11" s="17">
        <v>0</v>
      </c>
      <c r="D11" s="17">
        <v>0</v>
      </c>
      <c r="E11" s="17">
        <v>64</v>
      </c>
      <c r="F11" s="17">
        <v>68</v>
      </c>
      <c r="G11" s="17">
        <v>1</v>
      </c>
      <c r="H11" s="17">
        <v>7</v>
      </c>
      <c r="I11" s="17"/>
    </row>
    <row r="12" spans="1:9" ht="16.2" customHeight="1">
      <c r="A12" s="2">
        <v>46160</v>
      </c>
      <c r="B12" s="17">
        <v>68</v>
      </c>
      <c r="C12" s="17">
        <v>0</v>
      </c>
      <c r="D12" s="17">
        <v>10</v>
      </c>
      <c r="E12" s="17">
        <v>78</v>
      </c>
      <c r="F12" s="17">
        <v>77</v>
      </c>
      <c r="G12" s="17">
        <v>1</v>
      </c>
      <c r="H12" s="17"/>
      <c r="I12" s="17"/>
    </row>
    <row r="13" spans="1:9" ht="16.2" customHeight="1">
      <c r="A13" s="2">
        <v>46161</v>
      </c>
      <c r="B13" s="17">
        <v>65</v>
      </c>
      <c r="C13" s="17">
        <v>0</v>
      </c>
      <c r="D13" s="17">
        <v>2</v>
      </c>
      <c r="E13" s="17">
        <v>67</v>
      </c>
      <c r="F13" s="17">
        <v>70</v>
      </c>
      <c r="G13" s="17">
        <v>1</v>
      </c>
      <c r="H13" s="17">
        <v>49</v>
      </c>
      <c r="I13" s="17"/>
    </row>
    <row r="14" spans="1:9" ht="16.2" customHeight="1">
      <c r="A14" s="2">
        <v>46162</v>
      </c>
      <c r="B14" s="17">
        <v>54</v>
      </c>
      <c r="C14" s="17">
        <v>0</v>
      </c>
      <c r="D14" s="17">
        <v>2</v>
      </c>
      <c r="E14" s="17">
        <v>56</v>
      </c>
      <c r="F14" s="17">
        <v>70</v>
      </c>
      <c r="G14" s="17">
        <v>0</v>
      </c>
      <c r="H14" s="17"/>
      <c r="I14" s="17"/>
    </row>
    <row r="15" spans="1:9" ht="16.2" customHeight="1">
      <c r="A15" s="2">
        <v>46163</v>
      </c>
      <c r="B15" s="17">
        <v>57</v>
      </c>
      <c r="C15" s="17">
        <v>0</v>
      </c>
      <c r="D15" s="17">
        <v>5</v>
      </c>
      <c r="E15" s="17">
        <v>62</v>
      </c>
      <c r="F15" s="17">
        <v>80</v>
      </c>
      <c r="G15" s="17">
        <v>1</v>
      </c>
      <c r="H15" s="17"/>
      <c r="I15" s="17"/>
    </row>
    <row r="16" spans="1:9" ht="16.2" customHeight="1">
      <c r="A16" s="2">
        <v>46164</v>
      </c>
      <c r="B16" s="17">
        <v>69</v>
      </c>
      <c r="C16" s="17">
        <v>0</v>
      </c>
      <c r="D16" s="17">
        <v>3</v>
      </c>
      <c r="E16" s="17">
        <v>72</v>
      </c>
      <c r="F16" s="17">
        <v>76</v>
      </c>
      <c r="G16" s="17">
        <v>3</v>
      </c>
      <c r="H16" s="17">
        <v>12</v>
      </c>
      <c r="I16" s="17"/>
    </row>
    <row r="17" spans="1:9" ht="16.2" customHeight="1">
      <c r="A17" s="2">
        <v>46167</v>
      </c>
      <c r="B17" s="17">
        <v>90</v>
      </c>
      <c r="C17" s="17">
        <v>0</v>
      </c>
      <c r="D17" s="17">
        <v>0</v>
      </c>
      <c r="E17" s="17">
        <v>90</v>
      </c>
      <c r="F17" s="17">
        <v>100</v>
      </c>
      <c r="G17" s="17">
        <v>1</v>
      </c>
      <c r="H17" s="17">
        <v>1</v>
      </c>
      <c r="I17" s="17"/>
    </row>
    <row r="18" spans="1:9" ht="16.2" customHeight="1">
      <c r="A18" s="2">
        <v>46168</v>
      </c>
      <c r="B18" s="17">
        <v>88</v>
      </c>
      <c r="C18" s="17">
        <v>0</v>
      </c>
      <c r="D18" s="17">
        <v>0</v>
      </c>
      <c r="E18" s="17">
        <v>88</v>
      </c>
      <c r="F18" s="17">
        <v>114</v>
      </c>
      <c r="G18" s="17">
        <v>0</v>
      </c>
      <c r="H18" s="17"/>
      <c r="I18" s="17"/>
    </row>
    <row r="19" spans="1:9" ht="16.2" customHeight="1">
      <c r="A19" s="2">
        <v>46169</v>
      </c>
      <c r="B19" s="17">
        <v>97</v>
      </c>
      <c r="C19" s="17">
        <v>0</v>
      </c>
      <c r="D19" s="17">
        <v>9</v>
      </c>
      <c r="E19" s="17">
        <v>106</v>
      </c>
      <c r="F19" s="17">
        <v>120</v>
      </c>
      <c r="G19" s="17">
        <v>3</v>
      </c>
      <c r="H19" s="17">
        <v>4</v>
      </c>
      <c r="I19" s="17"/>
    </row>
    <row r="20" spans="1:9" ht="16.2" customHeight="1">
      <c r="A20" s="2">
        <v>46170</v>
      </c>
      <c r="B20" s="17"/>
      <c r="C20" s="17"/>
      <c r="D20" s="17"/>
      <c r="E20" s="17">
        <f t="shared" ref="E20:E21" si="0">SUM(B20+C20+D20)</f>
        <v>0</v>
      </c>
      <c r="F20" s="17"/>
      <c r="G20" s="17"/>
      <c r="H20" s="17"/>
      <c r="I20" s="17"/>
    </row>
    <row r="21" spans="1:9" ht="16.2" customHeight="1">
      <c r="A21" s="2">
        <v>46171</v>
      </c>
      <c r="B21" s="17"/>
      <c r="C21" s="17"/>
      <c r="D21" s="17"/>
      <c r="E21" s="17">
        <f t="shared" si="0"/>
        <v>0</v>
      </c>
      <c r="F21" s="17"/>
      <c r="G21" s="17"/>
      <c r="H21" s="17"/>
      <c r="I21" s="17"/>
    </row>
    <row r="22" spans="1:9" ht="16.2" customHeight="1">
      <c r="A22" s="11" t="s">
        <v>7</v>
      </c>
      <c r="B22" s="12">
        <f t="shared" ref="B22:I22" si="1">SUM(B2:B21)</f>
        <v>1104</v>
      </c>
      <c r="C22" s="12">
        <f t="shared" si="1"/>
        <v>0</v>
      </c>
      <c r="D22" s="12">
        <f t="shared" si="1"/>
        <v>64</v>
      </c>
      <c r="E22" s="12">
        <f t="shared" si="1"/>
        <v>1168</v>
      </c>
      <c r="F22" s="12">
        <f t="shared" si="1"/>
        <v>1259</v>
      </c>
      <c r="G22" s="12">
        <f t="shared" si="1"/>
        <v>18</v>
      </c>
      <c r="H22" s="12">
        <f t="shared" si="1"/>
        <v>163</v>
      </c>
      <c r="I22" s="12">
        <f t="shared" si="1"/>
        <v>0</v>
      </c>
    </row>
    <row r="23" spans="1:9" ht="16.2" customHeight="1">
      <c r="A23" s="39" t="s">
        <v>24</v>
      </c>
      <c r="B23" s="39"/>
      <c r="C23" s="18"/>
      <c r="D23" s="18"/>
      <c r="E23" s="18"/>
      <c r="F23" s="18"/>
      <c r="G23" s="6" t="s">
        <v>8</v>
      </c>
      <c r="H23" s="18"/>
    </row>
    <row r="24" spans="1:9" ht="16.2" customHeight="1">
      <c r="A24" s="39"/>
      <c r="B24" s="39"/>
      <c r="C24" s="7" t="s">
        <v>9</v>
      </c>
      <c r="D24" s="7">
        <f>B22</f>
        <v>1104</v>
      </c>
      <c r="E24" s="3">
        <v>3</v>
      </c>
      <c r="F24" s="7">
        <f>SUM(D24*E24)</f>
        <v>3312</v>
      </c>
      <c r="G24" s="40">
        <f>SUM(F24+F25)</f>
        <v>3403</v>
      </c>
      <c r="H24" s="8"/>
    </row>
    <row r="25" spans="1:9" ht="16.2" customHeight="1">
      <c r="A25" s="39"/>
      <c r="B25" s="39"/>
      <c r="C25" s="7" t="s">
        <v>10</v>
      </c>
      <c r="D25" s="7">
        <f>F22</f>
        <v>1259</v>
      </c>
      <c r="E25" s="3">
        <f xml:space="preserve"> E22</f>
        <v>1168</v>
      </c>
      <c r="F25" s="7">
        <f>SUM(D25-E25)</f>
        <v>91</v>
      </c>
      <c r="G25" s="40"/>
      <c r="H25" s="8"/>
    </row>
    <row r="26" spans="1:9" ht="16.2" customHeight="1">
      <c r="A26" s="39"/>
      <c r="B26" s="39"/>
      <c r="C26" s="7" t="s">
        <v>11</v>
      </c>
      <c r="D26" s="7">
        <f>G22</f>
        <v>18</v>
      </c>
      <c r="E26" s="9">
        <v>3</v>
      </c>
      <c r="F26" s="7">
        <f>SUM(D26*E26)</f>
        <v>54</v>
      </c>
      <c r="G26" s="13">
        <f>SUM(F26+H22)</f>
        <v>217</v>
      </c>
      <c r="H26" s="8"/>
    </row>
    <row r="27" spans="1:9" ht="16.2" customHeight="1">
      <c r="A27" s="18"/>
      <c r="B27" s="18"/>
      <c r="C27" s="15"/>
      <c r="D27" s="15"/>
      <c r="E27" s="16"/>
      <c r="F27" s="7" t="s">
        <v>12</v>
      </c>
      <c r="G27" s="14">
        <f>SUM(G24+G26)</f>
        <v>3620</v>
      </c>
      <c r="H27" s="18"/>
    </row>
    <row r="28" spans="1:9">
      <c r="C28" s="10"/>
      <c r="E28" s="10"/>
    </row>
  </sheetData>
  <mergeCells count="2">
    <mergeCell ref="A23:B26"/>
    <mergeCell ref="G24:G25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漏斗</vt:lpstr>
      <vt:lpstr>蔡經邦</vt:lpstr>
      <vt:lpstr>牟善賢</vt:lpstr>
      <vt:lpstr>吳萌瑜</vt:lpstr>
      <vt:lpstr>高鄭旺</vt:lpstr>
      <vt:lpstr>張振發</vt:lpstr>
      <vt:lpstr>郭香蘭</vt:lpstr>
      <vt:lpstr>陳育賓</vt:lpstr>
      <vt:lpstr>温正杭</vt:lpstr>
      <vt:lpstr>詹益全</vt:lpstr>
      <vt:lpstr>詹錫熏</vt:lpstr>
      <vt:lpstr>鄒樂勳</vt:lpstr>
      <vt:lpstr>蔡俊傑</vt:lpstr>
      <vt:lpstr>蕭先財</vt:lpstr>
      <vt:lpstr>戴勝堂</vt:lpstr>
      <vt:lpstr>謝文川</vt:lpstr>
      <vt:lpstr>謝明憲</vt:lpstr>
      <vt:lpstr>林彥廷</vt:lpstr>
      <vt:lpstr>林茂競</vt:lpstr>
      <vt:lpstr>梁志強</vt:lpstr>
      <vt:lpstr>趙克強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2026-05-29T09:24:55Z</dcterms:modified>
</cp:coreProperties>
</file>