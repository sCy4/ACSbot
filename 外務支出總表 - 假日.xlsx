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730"/>
  <workbookPr filterPrivacy="1"/>
  <xr:revisionPtr revIDLastSave="0" documentId="13_ncr:1_{F139AD06-DC50-40C9-B229-2529A369B23B}" xr6:coauthVersionLast="36" xr6:coauthVersionMax="36" xr10:uidLastSave="{00000000-0000-0000-0000-000000000000}"/>
  <bookViews>
    <workbookView xWindow="0" yWindow="0" windowWidth="19200" windowHeight="6840" tabRatio="749" xr2:uid="{00000000-000D-0000-FFFF-FFFF00000000}"/>
  </bookViews>
  <sheets>
    <sheet name="外務支出總表-假日" sheetId="2" r:id="rId1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6" i="2" l="1"/>
  <c r="G6" i="2"/>
  <c r="G7" i="2"/>
  <c r="G8" i="2"/>
  <c r="G9" i="2"/>
  <c r="G10" i="2"/>
  <c r="G11" i="2"/>
  <c r="G12" i="2"/>
  <c r="G13" i="2"/>
  <c r="G14" i="2"/>
  <c r="G15" i="2"/>
  <c r="G16" i="2"/>
  <c r="E4" i="2"/>
  <c r="G4" i="2" s="1"/>
  <c r="E5" i="2"/>
  <c r="E6" i="2"/>
  <c r="E7" i="2"/>
  <c r="E8" i="2"/>
  <c r="E9" i="2"/>
  <c r="E10" i="2"/>
  <c r="E11" i="2"/>
  <c r="E12" i="2"/>
  <c r="E13" i="2"/>
  <c r="E14" i="2"/>
  <c r="E15" i="2"/>
  <c r="E3" i="2"/>
  <c r="G3" i="2" s="1"/>
  <c r="D17" i="2"/>
  <c r="E17" i="2" l="1"/>
  <c r="G5" i="2"/>
  <c r="G17" i="2" s="1"/>
  <c r="F17" i="2"/>
</calcChain>
</file>

<file path=xl/sharedStrings.xml><?xml version="1.0" encoding="utf-8"?>
<sst xmlns="http://schemas.openxmlformats.org/spreadsheetml/2006/main" count="39" uniqueCount="37">
  <si>
    <t>重複件</t>
    <phoneticPr fontId="1" type="noConversion"/>
  </si>
  <si>
    <t>林彥廷</t>
    <phoneticPr fontId="1" type="noConversion"/>
  </si>
  <si>
    <t>高鄭旺</t>
    <phoneticPr fontId="1" type="noConversion"/>
  </si>
  <si>
    <t>陳育賓</t>
    <phoneticPr fontId="1" type="noConversion"/>
  </si>
  <si>
    <t>謝明憲</t>
    <phoneticPr fontId="1" type="noConversion"/>
  </si>
  <si>
    <t>林茂競</t>
    <phoneticPr fontId="1" type="noConversion"/>
  </si>
  <si>
    <t>張振發</t>
    <phoneticPr fontId="1" type="noConversion"/>
  </si>
  <si>
    <t>梁志強</t>
    <phoneticPr fontId="1" type="noConversion"/>
  </si>
  <si>
    <t>牟善賢</t>
    <phoneticPr fontId="1" type="noConversion"/>
  </si>
  <si>
    <t>吳萌瑜</t>
    <phoneticPr fontId="1" type="noConversion"/>
  </si>
  <si>
    <t>詹益全</t>
    <phoneticPr fontId="1" type="noConversion"/>
  </si>
  <si>
    <t>鄒樂勳</t>
    <phoneticPr fontId="1" type="noConversion"/>
  </si>
  <si>
    <t>蔡俊傑</t>
    <phoneticPr fontId="1" type="noConversion"/>
  </si>
  <si>
    <t>温正杭</t>
    <phoneticPr fontId="1" type="noConversion"/>
  </si>
  <si>
    <t>戴勝堂</t>
    <phoneticPr fontId="1" type="noConversion"/>
  </si>
  <si>
    <t>總計</t>
  </si>
  <si>
    <t>經理簽章：</t>
  </si>
  <si>
    <t>人員編號</t>
    <phoneticPr fontId="1" type="noConversion"/>
  </si>
  <si>
    <t>領現簽收人</t>
    <phoneticPr fontId="1" type="noConversion"/>
  </si>
  <si>
    <t>人員姓名</t>
    <phoneticPr fontId="1" type="noConversion"/>
  </si>
  <si>
    <t>派件費</t>
    <phoneticPr fontId="1" type="noConversion"/>
  </si>
  <si>
    <t>地區</t>
    <phoneticPr fontId="1" type="noConversion"/>
  </si>
  <si>
    <t>土城</t>
    <phoneticPr fontId="3" type="noConversion"/>
  </si>
  <si>
    <t>中和</t>
    <phoneticPr fontId="3" type="noConversion"/>
  </si>
  <si>
    <t>板橋</t>
    <phoneticPr fontId="3" type="noConversion"/>
  </si>
  <si>
    <t>蘆洲</t>
    <phoneticPr fontId="3" type="noConversion"/>
  </si>
  <si>
    <t>永新五</t>
    <phoneticPr fontId="3" type="noConversion"/>
  </si>
  <si>
    <t>中山</t>
    <phoneticPr fontId="3" type="noConversion"/>
  </si>
  <si>
    <t>萬華</t>
    <phoneticPr fontId="3" type="noConversion"/>
  </si>
  <si>
    <t>中正</t>
    <phoneticPr fontId="3" type="noConversion"/>
  </si>
  <si>
    <t>松山</t>
    <phoneticPr fontId="3" type="noConversion"/>
  </si>
  <si>
    <t>北投</t>
    <phoneticPr fontId="3" type="noConversion"/>
  </si>
  <si>
    <t>大安</t>
    <phoneticPr fontId="3" type="noConversion"/>
  </si>
  <si>
    <t>內湖</t>
    <phoneticPr fontId="3" type="noConversion"/>
  </si>
  <si>
    <t>總派件數</t>
    <phoneticPr fontId="1" type="noConversion"/>
  </si>
  <si>
    <t>件數</t>
    <phoneticPr fontId="1" type="noConversion"/>
  </si>
  <si>
    <r>
      <t xml:space="preserve">韻達快遞 外務支出總表 - </t>
    </r>
    <r>
      <rPr>
        <b/>
        <sz val="24"/>
        <color theme="1"/>
        <rFont val="新細明體"/>
        <family val="1"/>
        <charset val="136"/>
        <scheme val="minor"/>
      </rPr>
      <t>假日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</si>
</sst>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8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8"/>
      <color theme="1"/>
      <name val="新細明體"/>
      <family val="1"/>
      <charset val="136"/>
      <scheme val="minor"/>
    </font>
    <font>
      <sz val="9"/>
      <name val="新細明體"/>
      <family val="2"/>
      <charset val="136"/>
      <scheme val="minor"/>
    </font>
    <font>
      <sz val="20"/>
      <color theme="1"/>
      <name val="新細明體"/>
      <family val="1"/>
      <charset val="136"/>
      <scheme val="minor"/>
    </font>
    <font>
      <b/>
      <sz val="20"/>
      <color theme="1"/>
      <name val="新細明體"/>
      <family val="1"/>
      <charset val="136"/>
      <scheme val="minor"/>
    </font>
    <font>
      <sz val="24"/>
      <color theme="1"/>
      <name val="新細明體"/>
      <family val="1"/>
      <charset val="136"/>
      <scheme val="minor"/>
    </font>
    <font>
      <b/>
      <sz val="24"/>
      <color theme="1"/>
      <name val="新細明體"/>
      <family val="1"/>
      <charset val="136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CFAE3"/>
        <bgColor indexed="64"/>
      </patternFill>
    </fill>
    <fill>
      <patternFill patternType="solid">
        <fgColor rgb="FFF1E7DC"/>
        <bgColor indexed="64"/>
      </patternFill>
    </fill>
    <fill>
      <patternFill patternType="solid">
        <fgColor rgb="FFD7D1C6"/>
        <bgColor indexed="64"/>
      </patternFill>
    </fill>
    <fill>
      <patternFill patternType="solid">
        <fgColor rgb="FFCABFCC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 style="double">
        <color indexed="64"/>
      </bottom>
      <diagonal/>
    </border>
    <border>
      <left/>
      <right style="thin">
        <color auto="1"/>
      </right>
      <top style="thin">
        <color auto="1"/>
      </top>
      <bottom style="double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double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2" fillId="0" borderId="0" xfId="0" applyFont="1" applyBorder="1" applyAlignment="1">
      <alignment horizontal="center" vertical="center"/>
    </xf>
    <xf numFmtId="0" fontId="2" fillId="0" borderId="0" xfId="0" applyFont="1" applyFill="1" applyAlignment="1">
      <alignment horizontal="center"/>
    </xf>
    <xf numFmtId="0" fontId="2" fillId="0" borderId="0" xfId="0" applyFont="1" applyFill="1" applyBorder="1" applyAlignment="1">
      <alignment horizont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/>
    </xf>
    <xf numFmtId="0" fontId="4" fillId="0" borderId="0" xfId="0" applyFont="1" applyFill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4" fillId="0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0" borderId="7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176" fontId="4" fillId="3" borderId="4" xfId="0" applyNumberFormat="1" applyFont="1" applyFill="1" applyBorder="1" applyAlignment="1">
      <alignment horizontal="center" vertical="center"/>
    </xf>
    <xf numFmtId="176" fontId="4" fillId="4" borderId="4" xfId="0" applyNumberFormat="1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0" borderId="8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76" fontId="4" fillId="3" borderId="1" xfId="0" applyNumberFormat="1" applyFont="1" applyFill="1" applyBorder="1" applyAlignment="1">
      <alignment horizontal="center" vertical="center"/>
    </xf>
    <xf numFmtId="176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76" fontId="4" fillId="3" borderId="5" xfId="0" applyNumberFormat="1" applyFont="1" applyFill="1" applyBorder="1" applyAlignment="1">
      <alignment horizontal="center" vertical="center"/>
    </xf>
    <xf numFmtId="0" fontId="4" fillId="0" borderId="9" xfId="0" applyFont="1" applyFill="1" applyBorder="1" applyAlignment="1">
      <alignment horizontal="center"/>
    </xf>
    <xf numFmtId="0" fontId="5" fillId="0" borderId="10" xfId="0" applyFont="1" applyFill="1" applyBorder="1" applyAlignment="1">
      <alignment horizontal="center" vertical="center"/>
    </xf>
    <xf numFmtId="176" fontId="5" fillId="2" borderId="4" xfId="0" applyNumberFormat="1" applyFont="1" applyFill="1" applyBorder="1" applyAlignment="1">
      <alignment horizontal="center" vertical="center"/>
    </xf>
    <xf numFmtId="176" fontId="5" fillId="3" borderId="4" xfId="0" applyNumberFormat="1" applyFont="1" applyFill="1" applyBorder="1" applyAlignment="1">
      <alignment horizontal="center" vertical="center"/>
    </xf>
    <xf numFmtId="176" fontId="5" fillId="4" borderId="4" xfId="0" applyNumberFormat="1" applyFont="1" applyFill="1" applyBorder="1" applyAlignment="1">
      <alignment horizontal="center" vertical="center"/>
    </xf>
    <xf numFmtId="176" fontId="5" fillId="5" borderId="4" xfId="0" applyNumberFormat="1" applyFont="1" applyFill="1" applyBorder="1" applyAlignment="1">
      <alignment horizontal="center" vertical="center"/>
    </xf>
    <xf numFmtId="0" fontId="5" fillId="0" borderId="8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left"/>
    </xf>
    <xf numFmtId="176" fontId="4" fillId="0" borderId="0" xfId="0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left" vertical="center"/>
    </xf>
    <xf numFmtId="0" fontId="2" fillId="0" borderId="11" xfId="0" applyFont="1" applyFill="1" applyBorder="1" applyAlignment="1">
      <alignment horizontal="center"/>
    </xf>
  </cellXfs>
  <cellStyles count="1">
    <cellStyle name="一般" xfId="0" builtinId="0"/>
  </cellStyles>
  <dxfs count="0"/>
  <tableStyles count="0" defaultTableStyle="TableStyleMedium2" defaultPivotStyle="PivotStyleLight16"/>
  <colors>
    <mruColors>
      <color rgb="FFB5AAB0"/>
      <color rgb="FFCABFCC"/>
      <color rgb="FFD7D1C6"/>
      <color rgb="FFF1E7DC"/>
      <color rgb="FFFCFAE3"/>
      <color rgb="FFC3BAAA"/>
      <color rgb="FFEBDCCB"/>
      <color rgb="FFFAF8D4"/>
      <color rgb="FFF4FFFD"/>
      <color rgb="FFF7E8A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92C63-9FD1-4023-B71A-B2DC99C3FEFF}">
  <sheetPr>
    <pageSetUpPr fitToPage="1"/>
  </sheetPr>
  <dimension ref="A1:L21"/>
  <sheetViews>
    <sheetView tabSelected="1" showRuler="0" view="pageBreakPreview" zoomScale="25" zoomScaleNormal="70" zoomScaleSheetLayoutView="25" zoomScalePageLayoutView="55" workbookViewId="0">
      <selection activeCell="K21" sqref="K21"/>
    </sheetView>
  </sheetViews>
  <sheetFormatPr defaultRowHeight="24.6" x14ac:dyDescent="0.45"/>
  <cols>
    <col min="1" max="1" width="20.625" style="2" customWidth="1"/>
    <col min="2" max="3" width="18.625" style="2" customWidth="1"/>
    <col min="4" max="4" width="20.625" style="2" customWidth="1"/>
    <col min="5" max="6" width="15.625" style="2" customWidth="1"/>
    <col min="7" max="7" width="20.625" style="2" customWidth="1"/>
    <col min="8" max="8" width="40.625" style="2" customWidth="1"/>
    <col min="9" max="10" width="9" style="2"/>
    <col min="11" max="11" width="10.125" style="2" customWidth="1"/>
    <col min="12" max="16384" width="9" style="2"/>
  </cols>
  <sheetData>
    <row r="1" spans="1:11" ht="70.2" customHeight="1" x14ac:dyDescent="0.55000000000000004">
      <c r="A1" s="41" t="s">
        <v>36</v>
      </c>
      <c r="B1" s="5"/>
      <c r="C1" s="4"/>
      <c r="D1" s="5"/>
      <c r="E1" s="5"/>
      <c r="F1" s="4"/>
      <c r="G1" s="4"/>
      <c r="H1" s="6"/>
    </row>
    <row r="2" spans="1:11" ht="49.95" customHeight="1" thickBot="1" x14ac:dyDescent="0.5">
      <c r="A2" s="7" t="s">
        <v>17</v>
      </c>
      <c r="B2" s="7" t="s">
        <v>19</v>
      </c>
      <c r="C2" s="8" t="s">
        <v>21</v>
      </c>
      <c r="D2" s="9" t="s">
        <v>34</v>
      </c>
      <c r="E2" s="10" t="s">
        <v>35</v>
      </c>
      <c r="F2" s="11" t="s">
        <v>0</v>
      </c>
      <c r="G2" s="12" t="s">
        <v>20</v>
      </c>
      <c r="H2" s="13" t="s">
        <v>18</v>
      </c>
    </row>
    <row r="3" spans="1:11" ht="61.95" customHeight="1" thickTop="1" x14ac:dyDescent="0.45">
      <c r="A3" s="14">
        <v>21094053</v>
      </c>
      <c r="B3" s="14" t="s">
        <v>1</v>
      </c>
      <c r="C3" s="15" t="s">
        <v>22</v>
      </c>
      <c r="D3" s="16">
        <v>168</v>
      </c>
      <c r="E3" s="17">
        <f>D3-F3</f>
        <v>153</v>
      </c>
      <c r="F3" s="18">
        <v>15</v>
      </c>
      <c r="G3" s="19">
        <f>E3*30+F3*10</f>
        <v>4740</v>
      </c>
      <c r="H3" s="20"/>
      <c r="J3" s="1"/>
      <c r="K3" s="1"/>
    </row>
    <row r="4" spans="1:11" ht="61.95" customHeight="1" x14ac:dyDescent="0.45">
      <c r="A4" s="21">
        <v>20298022</v>
      </c>
      <c r="B4" s="21" t="s">
        <v>2</v>
      </c>
      <c r="C4" s="22" t="s">
        <v>23</v>
      </c>
      <c r="D4" s="23">
        <v>210</v>
      </c>
      <c r="E4" s="24">
        <f t="shared" ref="E4:E16" si="0">D4-F4</f>
        <v>194</v>
      </c>
      <c r="F4" s="25">
        <v>16</v>
      </c>
      <c r="G4" s="26">
        <f t="shared" ref="G4:G16" si="1">E4*30+F4*10</f>
        <v>5980</v>
      </c>
      <c r="H4" s="27"/>
      <c r="J4" s="1"/>
      <c r="K4" s="1"/>
    </row>
    <row r="5" spans="1:11" ht="61.95" customHeight="1" x14ac:dyDescent="0.45">
      <c r="A5" s="21">
        <v>21002102</v>
      </c>
      <c r="B5" s="21" t="s">
        <v>3</v>
      </c>
      <c r="C5" s="22" t="s">
        <v>24</v>
      </c>
      <c r="D5" s="23">
        <v>150</v>
      </c>
      <c r="E5" s="24">
        <f t="shared" si="0"/>
        <v>100</v>
      </c>
      <c r="F5" s="25">
        <v>50</v>
      </c>
      <c r="G5" s="26">
        <f t="shared" si="1"/>
        <v>3500</v>
      </c>
      <c r="H5" s="27"/>
      <c r="J5" s="1"/>
    </row>
    <row r="6" spans="1:11" ht="61.95" customHeight="1" x14ac:dyDescent="0.45">
      <c r="A6" s="21">
        <v>20296012</v>
      </c>
      <c r="B6" s="21" t="s">
        <v>4</v>
      </c>
      <c r="C6" s="22" t="s">
        <v>24</v>
      </c>
      <c r="D6" s="23"/>
      <c r="E6" s="24">
        <f t="shared" si="0"/>
        <v>0</v>
      </c>
      <c r="F6" s="25"/>
      <c r="G6" s="26">
        <f t="shared" si="1"/>
        <v>0</v>
      </c>
      <c r="H6" s="27"/>
      <c r="J6" s="1"/>
      <c r="K6" s="1"/>
    </row>
    <row r="7" spans="1:11" ht="61.95" customHeight="1" x14ac:dyDescent="0.45">
      <c r="A7" s="21">
        <v>20251027</v>
      </c>
      <c r="B7" s="21" t="s">
        <v>5</v>
      </c>
      <c r="C7" s="22" t="s">
        <v>25</v>
      </c>
      <c r="D7" s="23"/>
      <c r="E7" s="24">
        <f t="shared" si="0"/>
        <v>0</v>
      </c>
      <c r="F7" s="25"/>
      <c r="G7" s="26">
        <f t="shared" si="1"/>
        <v>0</v>
      </c>
      <c r="H7" s="27"/>
      <c r="J7" s="1"/>
      <c r="K7" s="1"/>
    </row>
    <row r="8" spans="1:11" ht="61.95" customHeight="1" x14ac:dyDescent="0.45">
      <c r="A8" s="21">
        <v>20220418</v>
      </c>
      <c r="B8" s="21" t="s">
        <v>6</v>
      </c>
      <c r="C8" s="22" t="s">
        <v>26</v>
      </c>
      <c r="D8" s="23"/>
      <c r="E8" s="24">
        <f t="shared" si="0"/>
        <v>0</v>
      </c>
      <c r="F8" s="25"/>
      <c r="G8" s="26">
        <f t="shared" si="1"/>
        <v>0</v>
      </c>
      <c r="H8" s="27"/>
      <c r="J8" s="1"/>
      <c r="K8" s="1"/>
    </row>
    <row r="9" spans="1:11" ht="61.95" customHeight="1" x14ac:dyDescent="0.45">
      <c r="A9" s="21">
        <v>21192074</v>
      </c>
      <c r="B9" s="21" t="s">
        <v>7</v>
      </c>
      <c r="C9" s="22" t="s">
        <v>27</v>
      </c>
      <c r="D9" s="23"/>
      <c r="E9" s="24">
        <f t="shared" si="0"/>
        <v>0</v>
      </c>
      <c r="F9" s="28"/>
      <c r="G9" s="26">
        <f t="shared" si="1"/>
        <v>0</v>
      </c>
      <c r="H9" s="27"/>
      <c r="J9" s="1"/>
      <c r="K9" s="1"/>
    </row>
    <row r="10" spans="1:11" ht="61.95" customHeight="1" x14ac:dyDescent="0.45">
      <c r="A10" s="21">
        <v>20240513</v>
      </c>
      <c r="B10" s="21" t="s">
        <v>13</v>
      </c>
      <c r="C10" s="22" t="s">
        <v>28</v>
      </c>
      <c r="D10" s="23"/>
      <c r="E10" s="24">
        <f t="shared" si="0"/>
        <v>0</v>
      </c>
      <c r="F10" s="25"/>
      <c r="G10" s="26">
        <f t="shared" si="1"/>
        <v>0</v>
      </c>
      <c r="H10" s="27"/>
      <c r="J10" s="1"/>
      <c r="K10" s="1"/>
    </row>
    <row r="11" spans="1:11" ht="61.95" customHeight="1" x14ac:dyDescent="0.45">
      <c r="A11" s="21">
        <v>20250324</v>
      </c>
      <c r="B11" s="21" t="s">
        <v>14</v>
      </c>
      <c r="C11" s="22" t="s">
        <v>29</v>
      </c>
      <c r="D11" s="23"/>
      <c r="E11" s="24">
        <f t="shared" si="0"/>
        <v>0</v>
      </c>
      <c r="F11" s="28"/>
      <c r="G11" s="26">
        <f t="shared" si="1"/>
        <v>0</v>
      </c>
      <c r="H11" s="27"/>
      <c r="J11" s="1"/>
      <c r="K11" s="1"/>
    </row>
    <row r="12" spans="1:11" ht="61.95" customHeight="1" x14ac:dyDescent="0.45">
      <c r="A12" s="21">
        <v>20290022</v>
      </c>
      <c r="B12" s="21" t="s">
        <v>8</v>
      </c>
      <c r="C12" s="22" t="s">
        <v>30</v>
      </c>
      <c r="D12" s="23"/>
      <c r="E12" s="24">
        <f t="shared" si="0"/>
        <v>0</v>
      </c>
      <c r="F12" s="28"/>
      <c r="G12" s="26">
        <f t="shared" si="1"/>
        <v>0</v>
      </c>
      <c r="H12" s="27"/>
      <c r="J12" s="1"/>
      <c r="K12" s="1"/>
    </row>
    <row r="13" spans="1:11" ht="61.95" customHeight="1" x14ac:dyDescent="0.45">
      <c r="A13" s="21">
        <v>20200103</v>
      </c>
      <c r="B13" s="21" t="s">
        <v>9</v>
      </c>
      <c r="C13" s="22" t="s">
        <v>31</v>
      </c>
      <c r="D13" s="23"/>
      <c r="E13" s="24">
        <f t="shared" si="0"/>
        <v>0</v>
      </c>
      <c r="F13" s="28"/>
      <c r="G13" s="26">
        <f t="shared" si="1"/>
        <v>0</v>
      </c>
      <c r="H13" s="27"/>
      <c r="J13" s="1"/>
      <c r="K13" s="1"/>
    </row>
    <row r="14" spans="1:11" ht="61.95" customHeight="1" x14ac:dyDescent="0.45">
      <c r="A14" s="21">
        <v>20296021</v>
      </c>
      <c r="B14" s="21" t="s">
        <v>10</v>
      </c>
      <c r="C14" s="22" t="s">
        <v>32</v>
      </c>
      <c r="D14" s="23"/>
      <c r="E14" s="24">
        <f t="shared" si="0"/>
        <v>0</v>
      </c>
      <c r="F14" s="28"/>
      <c r="G14" s="26">
        <f t="shared" si="1"/>
        <v>0</v>
      </c>
      <c r="H14" s="27"/>
      <c r="J14" s="1"/>
    </row>
    <row r="15" spans="1:11" ht="61.95" customHeight="1" x14ac:dyDescent="0.45">
      <c r="A15" s="21">
        <v>21005222</v>
      </c>
      <c r="B15" s="21" t="s">
        <v>11</v>
      </c>
      <c r="C15" s="22" t="s">
        <v>33</v>
      </c>
      <c r="D15" s="23"/>
      <c r="E15" s="24">
        <f t="shared" si="0"/>
        <v>0</v>
      </c>
      <c r="F15" s="28"/>
      <c r="G15" s="26">
        <f t="shared" si="1"/>
        <v>0</v>
      </c>
      <c r="H15" s="27"/>
      <c r="J15" s="1"/>
    </row>
    <row r="16" spans="1:11" s="3" customFormat="1" ht="61.95" customHeight="1" thickBot="1" x14ac:dyDescent="0.5">
      <c r="A16" s="29">
        <v>20240710</v>
      </c>
      <c r="B16" s="29" t="s">
        <v>12</v>
      </c>
      <c r="C16" s="30" t="s">
        <v>33</v>
      </c>
      <c r="D16" s="9"/>
      <c r="E16" s="31">
        <f t="shared" si="0"/>
        <v>0</v>
      </c>
      <c r="F16" s="11"/>
      <c r="G16" s="12">
        <f t="shared" si="1"/>
        <v>0</v>
      </c>
      <c r="H16" s="13"/>
      <c r="J16" s="1"/>
    </row>
    <row r="17" spans="1:12" ht="61.95" customHeight="1" thickTop="1" x14ac:dyDescent="0.55000000000000004">
      <c r="A17" s="32"/>
      <c r="B17" s="33" t="s">
        <v>15</v>
      </c>
      <c r="C17" s="42"/>
      <c r="D17" s="34">
        <f>SUM(D3:D16)</f>
        <v>528</v>
      </c>
      <c r="E17" s="35">
        <f>SUM(E3:E16)</f>
        <v>447</v>
      </c>
      <c r="F17" s="36">
        <f>SUM(F3:F16)</f>
        <v>81</v>
      </c>
      <c r="G17" s="37">
        <f>SUM(G3:G16)</f>
        <v>14220</v>
      </c>
      <c r="H17" s="38"/>
    </row>
    <row r="18" spans="1:12" ht="60" customHeight="1" x14ac:dyDescent="0.55000000000000004">
      <c r="A18" s="39" t="s">
        <v>16</v>
      </c>
      <c r="B18" s="6"/>
      <c r="C18" s="6"/>
      <c r="D18" s="6"/>
      <c r="E18" s="40"/>
      <c r="F18" s="40"/>
      <c r="G18" s="4"/>
      <c r="H18" s="6"/>
    </row>
    <row r="21" spans="1:12" x14ac:dyDescent="0.45">
      <c r="L21" s="3"/>
    </row>
  </sheetData>
  <phoneticPr fontId="1" type="noConversion"/>
  <pageMargins left="0.25" right="0.25" top="0.75" bottom="0.75" header="0.3" footer="0.3"/>
  <pageSetup paperSize="9" scale="6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外務支出總表-假日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2026-05-29T08:28:33Z</dcterms:modified>
</cp:coreProperties>
</file>