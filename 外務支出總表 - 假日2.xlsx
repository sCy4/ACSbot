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1F99E66-BE28-4535-9E0A-B2A350113E7E}" xr6:coauthVersionLast="36" xr6:coauthVersionMax="36" xr10:uidLastSave="{00000000-0000-0000-0000-000000000000}"/>
  <bookViews>
    <workbookView xWindow="0" yWindow="0" windowWidth="19200" windowHeight="6840" tabRatio="749" xr2:uid="{00000000-000D-0000-FFFF-FFFF00000000}"/>
  </bookViews>
  <sheets>
    <sheet name="外務支出總表-假日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E4" i="2"/>
  <c r="G4" i="2" s="1"/>
  <c r="E5" i="2"/>
  <c r="G5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3" i="2" l="1"/>
  <c r="G3" i="2" s="1"/>
  <c r="D27" i="2"/>
  <c r="E27" i="2" l="1"/>
  <c r="G27" i="2"/>
  <c r="F27" i="2"/>
</calcChain>
</file>

<file path=xl/sharedStrings.xml><?xml version="1.0" encoding="utf-8"?>
<sst xmlns="http://schemas.openxmlformats.org/spreadsheetml/2006/main" count="50" uniqueCount="48">
  <si>
    <t>重複件</t>
    <phoneticPr fontId="1" type="noConversion"/>
  </si>
  <si>
    <t>林彥廷</t>
    <phoneticPr fontId="1" type="noConversion"/>
  </si>
  <si>
    <t>高鄭旺</t>
    <phoneticPr fontId="1" type="noConversion"/>
  </si>
  <si>
    <t>陳育賓</t>
    <phoneticPr fontId="1" type="noConversion"/>
  </si>
  <si>
    <t>謝明憲</t>
    <phoneticPr fontId="1" type="noConversion"/>
  </si>
  <si>
    <t>林茂競</t>
    <phoneticPr fontId="1" type="noConversion"/>
  </si>
  <si>
    <t>張振發</t>
    <phoneticPr fontId="1" type="noConversion"/>
  </si>
  <si>
    <t>梁志強</t>
    <phoneticPr fontId="1" type="noConversion"/>
  </si>
  <si>
    <t>牟善賢</t>
    <phoneticPr fontId="1" type="noConversion"/>
  </si>
  <si>
    <t>吳萌瑜</t>
    <phoneticPr fontId="1" type="noConversion"/>
  </si>
  <si>
    <t>詹益全</t>
    <phoneticPr fontId="1" type="noConversion"/>
  </si>
  <si>
    <t>鄒樂勳</t>
    <phoneticPr fontId="1" type="noConversion"/>
  </si>
  <si>
    <t>蔡俊傑</t>
    <phoneticPr fontId="1" type="noConversion"/>
  </si>
  <si>
    <t>温正杭</t>
    <phoneticPr fontId="1" type="noConversion"/>
  </si>
  <si>
    <t>戴勝堂</t>
    <phoneticPr fontId="1" type="noConversion"/>
  </si>
  <si>
    <t>總計</t>
  </si>
  <si>
    <t>經理簽章：</t>
  </si>
  <si>
    <t>人員編號</t>
    <phoneticPr fontId="1" type="noConversion"/>
  </si>
  <si>
    <t>領現簽收人</t>
    <phoneticPr fontId="1" type="noConversion"/>
  </si>
  <si>
    <t>人員姓名</t>
    <phoneticPr fontId="1" type="noConversion"/>
  </si>
  <si>
    <t>派件費</t>
    <phoneticPr fontId="1" type="noConversion"/>
  </si>
  <si>
    <t>地區</t>
    <phoneticPr fontId="1" type="noConversion"/>
  </si>
  <si>
    <t>土城</t>
    <phoneticPr fontId="3" type="noConversion"/>
  </si>
  <si>
    <t>中和</t>
    <phoneticPr fontId="3" type="noConversion"/>
  </si>
  <si>
    <t>板橋</t>
    <phoneticPr fontId="3" type="noConversion"/>
  </si>
  <si>
    <t>蘆洲</t>
    <phoneticPr fontId="3" type="noConversion"/>
  </si>
  <si>
    <t>永新五</t>
    <phoneticPr fontId="3" type="noConversion"/>
  </si>
  <si>
    <t>中山</t>
    <phoneticPr fontId="3" type="noConversion"/>
  </si>
  <si>
    <t>萬華</t>
    <phoneticPr fontId="3" type="noConversion"/>
  </si>
  <si>
    <t>中正</t>
    <phoneticPr fontId="3" type="noConversion"/>
  </si>
  <si>
    <t>松山</t>
    <phoneticPr fontId="3" type="noConversion"/>
  </si>
  <si>
    <t>北投</t>
    <phoneticPr fontId="3" type="noConversion"/>
  </si>
  <si>
    <t>大安</t>
    <phoneticPr fontId="3" type="noConversion"/>
  </si>
  <si>
    <t>內湖</t>
    <phoneticPr fontId="3" type="noConversion"/>
  </si>
  <si>
    <t>總派件數</t>
    <phoneticPr fontId="1" type="noConversion"/>
  </si>
  <si>
    <t>件數</t>
    <phoneticPr fontId="1" type="noConversion"/>
  </si>
  <si>
    <r>
      <t xml:space="preserve">韻達快遞 外務支出總表 - </t>
    </r>
    <r>
      <rPr>
        <b/>
        <sz val="24"/>
        <color theme="1"/>
        <rFont val="新細明體"/>
        <family val="1"/>
        <charset val="136"/>
        <scheme val="minor"/>
      </rPr>
      <t>假日</t>
    </r>
    <phoneticPr fontId="1" type="noConversion"/>
  </si>
  <si>
    <t>年               月               日</t>
    <phoneticPr fontId="1" type="noConversion"/>
  </si>
  <si>
    <t>張春文</t>
    <phoneticPr fontId="1" type="noConversion"/>
  </si>
  <si>
    <t>蕭先財</t>
    <phoneticPr fontId="1" type="noConversion"/>
  </si>
  <si>
    <t>施啟文</t>
    <phoneticPr fontId="1" type="noConversion"/>
  </si>
  <si>
    <t>詹錫熏</t>
    <phoneticPr fontId="1" type="noConversion"/>
  </si>
  <si>
    <t>謝文川</t>
    <phoneticPr fontId="1" type="noConversion"/>
  </si>
  <si>
    <t>郭香蘭</t>
    <phoneticPr fontId="1" type="noConversion"/>
  </si>
  <si>
    <t>趙克強</t>
    <phoneticPr fontId="1" type="noConversion"/>
  </si>
  <si>
    <t>譚毓麟</t>
    <phoneticPr fontId="1" type="noConversion"/>
  </si>
  <si>
    <t>洪森賢</t>
    <phoneticPr fontId="1" type="noConversion"/>
  </si>
  <si>
    <t>劉彥璋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</si>
</sst>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4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AE3"/>
        <bgColor indexed="64"/>
      </patternFill>
    </fill>
    <fill>
      <patternFill patternType="solid">
        <fgColor rgb="FFF1E7DC"/>
        <bgColor indexed="64"/>
      </patternFill>
    </fill>
    <fill>
      <patternFill patternType="solid">
        <fgColor rgb="FFD7D1C6"/>
        <bgColor indexed="64"/>
      </patternFill>
    </fill>
    <fill>
      <patternFill patternType="solid">
        <fgColor rgb="FFCABFCC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4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176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B5AAB0"/>
      <color rgb="FFCABFCC"/>
      <color rgb="FFD7D1C6"/>
      <color rgb="FFF1E7DC"/>
      <color rgb="FFFCFAE3"/>
      <color rgb="FFC3BAAA"/>
      <color rgb="FFEBDCCB"/>
      <color rgb="FFFAF8D4"/>
      <color rgb="FFF4FFFD"/>
      <color rgb="FFF7E8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2C63-9FD1-4023-B71A-B2DC99C3FEFF}">
  <sheetPr>
    <pageSetUpPr fitToPage="1"/>
  </sheetPr>
  <dimension ref="A1:L31"/>
  <sheetViews>
    <sheetView tabSelected="1" showRuler="0" zoomScale="55" zoomScaleNormal="55" zoomScaleSheetLayoutView="25" zoomScalePageLayoutView="55" workbookViewId="0">
      <selection activeCell="G5" sqref="G5"/>
    </sheetView>
  </sheetViews>
  <sheetFormatPr defaultRowHeight="24.6" x14ac:dyDescent="0.45"/>
  <cols>
    <col min="1" max="1" width="20.625" style="2" customWidth="1"/>
    <col min="2" max="3" width="18.625" style="2" customWidth="1"/>
    <col min="4" max="4" width="20.625" style="2" customWidth="1"/>
    <col min="5" max="6" width="15.625" style="2" customWidth="1"/>
    <col min="7" max="7" width="20.625" style="2" customWidth="1"/>
    <col min="8" max="8" width="40.625" style="2" customWidth="1"/>
    <col min="9" max="10" width="9" style="2"/>
    <col min="11" max="11" width="10.125" style="2" customWidth="1"/>
    <col min="12" max="16384" width="9" style="2"/>
  </cols>
  <sheetData>
    <row r="1" spans="1:11" ht="70.2" customHeight="1" x14ac:dyDescent="0.55000000000000004">
      <c r="A1" s="38" t="s">
        <v>36</v>
      </c>
      <c r="B1" s="5"/>
      <c r="C1" s="4"/>
      <c r="D1" s="5"/>
      <c r="E1" s="5"/>
      <c r="F1" s="4"/>
      <c r="G1" s="4"/>
      <c r="H1" s="39" t="s">
        <v>37</v>
      </c>
    </row>
    <row r="2" spans="1:11" ht="48" customHeight="1" thickBot="1" x14ac:dyDescent="0.5">
      <c r="A2" s="7" t="s">
        <v>17</v>
      </c>
      <c r="B2" s="7" t="s">
        <v>19</v>
      </c>
      <c r="C2" s="8" t="s">
        <v>21</v>
      </c>
      <c r="D2" s="9" t="s">
        <v>34</v>
      </c>
      <c r="E2" s="10" t="s">
        <v>35</v>
      </c>
      <c r="F2" s="11" t="s">
        <v>0</v>
      </c>
      <c r="G2" s="12" t="s">
        <v>20</v>
      </c>
      <c r="H2" s="13" t="s">
        <v>18</v>
      </c>
    </row>
    <row r="3" spans="1:11" ht="49.95" customHeight="1" thickTop="1" x14ac:dyDescent="0.45">
      <c r="A3" s="14">
        <v>21094053</v>
      </c>
      <c r="B3" s="14" t="s">
        <v>1</v>
      </c>
      <c r="C3" s="15" t="s">
        <v>22</v>
      </c>
      <c r="D3" s="16"/>
      <c r="E3" s="17">
        <f>D3-F3</f>
        <v>0</v>
      </c>
      <c r="F3" s="18"/>
      <c r="G3" s="19">
        <f>E3*30+F3*10</f>
        <v>0</v>
      </c>
      <c r="H3" s="20"/>
      <c r="J3" s="1"/>
      <c r="K3" s="1"/>
    </row>
    <row r="4" spans="1:11" ht="49.95" customHeight="1" x14ac:dyDescent="0.45">
      <c r="A4" s="21">
        <v>20298022</v>
      </c>
      <c r="B4" s="21" t="s">
        <v>2</v>
      </c>
      <c r="C4" s="22" t="s">
        <v>23</v>
      </c>
      <c r="D4" s="23"/>
      <c r="E4" s="17">
        <f t="shared" ref="E4:E26" si="0">D4-F4</f>
        <v>0</v>
      </c>
      <c r="F4" s="24"/>
      <c r="G4" s="19">
        <f t="shared" ref="G4:G26" si="1">E4*30+F4*10</f>
        <v>0</v>
      </c>
      <c r="H4" s="25"/>
      <c r="J4" s="1"/>
      <c r="K4" s="1"/>
    </row>
    <row r="5" spans="1:11" ht="49.95" customHeight="1" x14ac:dyDescent="0.45">
      <c r="A5" s="21">
        <v>20260601</v>
      </c>
      <c r="B5" s="21" t="s">
        <v>38</v>
      </c>
      <c r="C5" s="22"/>
      <c r="D5" s="23"/>
      <c r="E5" s="17">
        <f t="shared" si="0"/>
        <v>0</v>
      </c>
      <c r="F5" s="24"/>
      <c r="G5" s="19">
        <f t="shared" si="1"/>
        <v>0</v>
      </c>
      <c r="H5" s="25"/>
      <c r="J5" s="1"/>
      <c r="K5" s="1"/>
    </row>
    <row r="6" spans="1:11" ht="49.95" customHeight="1" x14ac:dyDescent="0.45">
      <c r="A6" s="21">
        <v>21002102</v>
      </c>
      <c r="B6" s="21" t="s">
        <v>3</v>
      </c>
      <c r="C6" s="22" t="s">
        <v>24</v>
      </c>
      <c r="D6" s="23"/>
      <c r="E6" s="17">
        <f t="shared" si="0"/>
        <v>0</v>
      </c>
      <c r="F6" s="24"/>
      <c r="G6" s="19">
        <f t="shared" si="1"/>
        <v>0</v>
      </c>
      <c r="H6" s="25"/>
      <c r="J6" s="1"/>
    </row>
    <row r="7" spans="1:11" ht="49.95" customHeight="1" x14ac:dyDescent="0.45">
      <c r="A7" s="21">
        <v>20903101</v>
      </c>
      <c r="B7" s="21" t="s">
        <v>39</v>
      </c>
      <c r="C7" s="22"/>
      <c r="D7" s="23"/>
      <c r="E7" s="17">
        <f t="shared" si="0"/>
        <v>0</v>
      </c>
      <c r="F7" s="24"/>
      <c r="G7" s="19">
        <f t="shared" si="1"/>
        <v>0</v>
      </c>
      <c r="H7" s="25"/>
      <c r="J7" s="1"/>
    </row>
    <row r="8" spans="1:11" ht="49.95" customHeight="1" x14ac:dyDescent="0.45">
      <c r="A8" s="21">
        <v>20296012</v>
      </c>
      <c r="B8" s="21" t="s">
        <v>4</v>
      </c>
      <c r="C8" s="22" t="s">
        <v>24</v>
      </c>
      <c r="D8" s="23"/>
      <c r="E8" s="17">
        <f t="shared" si="0"/>
        <v>0</v>
      </c>
      <c r="F8" s="24"/>
      <c r="G8" s="19">
        <f t="shared" si="1"/>
        <v>0</v>
      </c>
      <c r="H8" s="25"/>
      <c r="J8" s="1"/>
      <c r="K8" s="1"/>
    </row>
    <row r="9" spans="1:11" ht="49.95" customHeight="1" x14ac:dyDescent="0.45">
      <c r="A9" s="21">
        <v>20251027</v>
      </c>
      <c r="B9" s="21" t="s">
        <v>5</v>
      </c>
      <c r="C9" s="22" t="s">
        <v>25</v>
      </c>
      <c r="D9" s="23"/>
      <c r="E9" s="17">
        <f t="shared" si="0"/>
        <v>0</v>
      </c>
      <c r="F9" s="24"/>
      <c r="G9" s="19">
        <f t="shared" si="1"/>
        <v>0</v>
      </c>
      <c r="H9" s="25"/>
      <c r="J9" s="1"/>
      <c r="K9" s="1"/>
    </row>
    <row r="10" spans="1:11" ht="49.95" customHeight="1" x14ac:dyDescent="0.45">
      <c r="A10" s="21">
        <v>20260602</v>
      </c>
      <c r="B10" s="21" t="s">
        <v>40</v>
      </c>
      <c r="C10" s="22"/>
      <c r="D10" s="23"/>
      <c r="E10" s="17">
        <f t="shared" si="0"/>
        <v>0</v>
      </c>
      <c r="F10" s="24"/>
      <c r="G10" s="19">
        <f t="shared" si="1"/>
        <v>0</v>
      </c>
      <c r="H10" s="25"/>
      <c r="J10" s="1"/>
      <c r="K10" s="1"/>
    </row>
    <row r="11" spans="1:11" ht="49.95" customHeight="1" x14ac:dyDescent="0.45">
      <c r="A11" s="21">
        <v>20220418</v>
      </c>
      <c r="B11" s="21" t="s">
        <v>6</v>
      </c>
      <c r="C11" s="22" t="s">
        <v>26</v>
      </c>
      <c r="D11" s="23"/>
      <c r="E11" s="17">
        <f t="shared" si="0"/>
        <v>0</v>
      </c>
      <c r="F11" s="24"/>
      <c r="G11" s="19">
        <f t="shared" si="1"/>
        <v>0</v>
      </c>
      <c r="H11" s="25"/>
      <c r="J11" s="1"/>
      <c r="K11" s="1"/>
    </row>
    <row r="12" spans="1:11" ht="49.95" customHeight="1" x14ac:dyDescent="0.45">
      <c r="A12" s="21">
        <v>20251117</v>
      </c>
      <c r="B12" s="21" t="s">
        <v>41</v>
      </c>
      <c r="C12" s="22"/>
      <c r="D12" s="23"/>
      <c r="E12" s="17">
        <f t="shared" si="0"/>
        <v>0</v>
      </c>
      <c r="F12" s="24"/>
      <c r="G12" s="19">
        <f t="shared" si="1"/>
        <v>0</v>
      </c>
      <c r="H12" s="25"/>
      <c r="J12" s="1"/>
      <c r="K12" s="1"/>
    </row>
    <row r="13" spans="1:11" ht="49.95" customHeight="1" x14ac:dyDescent="0.45">
      <c r="A13" s="21">
        <v>21192074</v>
      </c>
      <c r="B13" s="21" t="s">
        <v>7</v>
      </c>
      <c r="C13" s="22" t="s">
        <v>27</v>
      </c>
      <c r="D13" s="23"/>
      <c r="E13" s="17">
        <f t="shared" si="0"/>
        <v>0</v>
      </c>
      <c r="F13" s="26"/>
      <c r="G13" s="19">
        <f t="shared" si="1"/>
        <v>0</v>
      </c>
      <c r="H13" s="25"/>
      <c r="J13" s="1"/>
      <c r="K13" s="1"/>
    </row>
    <row r="14" spans="1:11" ht="49.95" customHeight="1" x14ac:dyDescent="0.45">
      <c r="A14" s="21">
        <v>20240513</v>
      </c>
      <c r="B14" s="21" t="s">
        <v>13</v>
      </c>
      <c r="C14" s="22" t="s">
        <v>28</v>
      </c>
      <c r="D14" s="23"/>
      <c r="E14" s="17">
        <f t="shared" si="0"/>
        <v>0</v>
      </c>
      <c r="F14" s="24"/>
      <c r="G14" s="19">
        <f t="shared" si="1"/>
        <v>0</v>
      </c>
      <c r="H14" s="25"/>
      <c r="J14" s="1"/>
      <c r="K14" s="1"/>
    </row>
    <row r="15" spans="1:11" ht="49.95" customHeight="1" x14ac:dyDescent="0.45">
      <c r="A15" s="21">
        <v>20250324</v>
      </c>
      <c r="B15" s="21" t="s">
        <v>14</v>
      </c>
      <c r="C15" s="22" t="s">
        <v>29</v>
      </c>
      <c r="D15" s="23"/>
      <c r="E15" s="17">
        <f t="shared" si="0"/>
        <v>0</v>
      </c>
      <c r="F15" s="26"/>
      <c r="G15" s="19">
        <f t="shared" si="1"/>
        <v>0</v>
      </c>
      <c r="H15" s="25"/>
      <c r="J15" s="1"/>
      <c r="K15" s="1"/>
    </row>
    <row r="16" spans="1:11" ht="49.95" customHeight="1" x14ac:dyDescent="0.45">
      <c r="A16" s="21">
        <v>20250825</v>
      </c>
      <c r="B16" s="21" t="s">
        <v>42</v>
      </c>
      <c r="C16" s="22"/>
      <c r="D16" s="23"/>
      <c r="E16" s="17">
        <f t="shared" si="0"/>
        <v>0</v>
      </c>
      <c r="F16" s="26"/>
      <c r="G16" s="19">
        <f t="shared" si="1"/>
        <v>0</v>
      </c>
      <c r="H16" s="25"/>
      <c r="J16" s="1"/>
      <c r="K16" s="1"/>
    </row>
    <row r="17" spans="1:12" ht="49.95" customHeight="1" x14ac:dyDescent="0.45">
      <c r="A17" s="21">
        <v>20290022</v>
      </c>
      <c r="B17" s="21" t="s">
        <v>8</v>
      </c>
      <c r="C17" s="22" t="s">
        <v>30</v>
      </c>
      <c r="D17" s="23"/>
      <c r="E17" s="17">
        <f t="shared" si="0"/>
        <v>0</v>
      </c>
      <c r="F17" s="26"/>
      <c r="G17" s="19">
        <f t="shared" si="1"/>
        <v>0</v>
      </c>
      <c r="H17" s="25"/>
      <c r="J17" s="1"/>
      <c r="K17" s="1"/>
    </row>
    <row r="18" spans="1:12" ht="49.95" customHeight="1" x14ac:dyDescent="0.45">
      <c r="A18" s="21">
        <v>20200103</v>
      </c>
      <c r="B18" s="21" t="s">
        <v>9</v>
      </c>
      <c r="C18" s="22" t="s">
        <v>31</v>
      </c>
      <c r="D18" s="23"/>
      <c r="E18" s="17">
        <f t="shared" si="0"/>
        <v>0</v>
      </c>
      <c r="F18" s="26"/>
      <c r="G18" s="19">
        <f t="shared" si="1"/>
        <v>0</v>
      </c>
      <c r="H18" s="25"/>
      <c r="J18" s="1"/>
      <c r="K18" s="1"/>
    </row>
    <row r="19" spans="1:12" ht="49.95" customHeight="1" x14ac:dyDescent="0.45">
      <c r="A19" s="21">
        <v>260604</v>
      </c>
      <c r="B19" s="21" t="s">
        <v>46</v>
      </c>
      <c r="C19" s="22"/>
      <c r="D19" s="23"/>
      <c r="E19" s="17">
        <f t="shared" si="0"/>
        <v>0</v>
      </c>
      <c r="F19" s="26"/>
      <c r="G19" s="19">
        <f t="shared" si="1"/>
        <v>0</v>
      </c>
      <c r="H19" s="25"/>
      <c r="J19" s="1"/>
      <c r="K19" s="1"/>
    </row>
    <row r="20" spans="1:12" ht="49.95" customHeight="1" x14ac:dyDescent="0.45">
      <c r="A20" s="21">
        <v>20260305</v>
      </c>
      <c r="B20" s="21" t="s">
        <v>43</v>
      </c>
      <c r="C20" s="22"/>
      <c r="D20" s="23"/>
      <c r="E20" s="17">
        <f t="shared" si="0"/>
        <v>0</v>
      </c>
      <c r="F20" s="26"/>
      <c r="G20" s="19">
        <f t="shared" si="1"/>
        <v>0</v>
      </c>
      <c r="H20" s="25"/>
      <c r="J20" s="1"/>
      <c r="K20" s="1"/>
    </row>
    <row r="21" spans="1:12" ht="49.95" customHeight="1" x14ac:dyDescent="0.45">
      <c r="A21" s="21">
        <v>20296021</v>
      </c>
      <c r="B21" s="21" t="s">
        <v>10</v>
      </c>
      <c r="C21" s="22" t="s">
        <v>32</v>
      </c>
      <c r="D21" s="23"/>
      <c r="E21" s="17">
        <f t="shared" si="0"/>
        <v>0</v>
      </c>
      <c r="F21" s="26"/>
      <c r="G21" s="19">
        <f t="shared" si="1"/>
        <v>0</v>
      </c>
      <c r="H21" s="25"/>
      <c r="J21" s="1"/>
    </row>
    <row r="22" spans="1:12" ht="49.95" customHeight="1" x14ac:dyDescent="0.45">
      <c r="A22" s="21">
        <v>21005222</v>
      </c>
      <c r="B22" s="21" t="s">
        <v>11</v>
      </c>
      <c r="C22" s="22" t="s">
        <v>33</v>
      </c>
      <c r="D22" s="23"/>
      <c r="E22" s="17">
        <f t="shared" si="0"/>
        <v>0</v>
      </c>
      <c r="F22" s="26"/>
      <c r="G22" s="19">
        <f t="shared" si="1"/>
        <v>0</v>
      </c>
      <c r="H22" s="25"/>
      <c r="J22" s="1"/>
    </row>
    <row r="23" spans="1:12" ht="49.95" customHeight="1" x14ac:dyDescent="0.45">
      <c r="A23" s="40">
        <v>20289041</v>
      </c>
      <c r="B23" s="40" t="s">
        <v>44</v>
      </c>
      <c r="C23" s="41"/>
      <c r="D23" s="42"/>
      <c r="E23" s="17">
        <f t="shared" si="0"/>
        <v>0</v>
      </c>
      <c r="F23" s="43"/>
      <c r="G23" s="19">
        <f t="shared" si="1"/>
        <v>0</v>
      </c>
      <c r="H23" s="44"/>
      <c r="J23" s="1"/>
    </row>
    <row r="24" spans="1:12" ht="49.95" customHeight="1" x14ac:dyDescent="0.45">
      <c r="A24" s="40">
        <v>260603</v>
      </c>
      <c r="B24" s="40" t="s">
        <v>47</v>
      </c>
      <c r="C24" s="41"/>
      <c r="D24" s="42"/>
      <c r="E24" s="17">
        <f t="shared" si="0"/>
        <v>0</v>
      </c>
      <c r="F24" s="43"/>
      <c r="G24" s="19">
        <f t="shared" si="1"/>
        <v>0</v>
      </c>
      <c r="H24" s="44"/>
      <c r="J24" s="1"/>
    </row>
    <row r="25" spans="1:12" s="3" customFormat="1" ht="49.95" customHeight="1" x14ac:dyDescent="0.45">
      <c r="A25" s="40">
        <v>20240710</v>
      </c>
      <c r="B25" s="40" t="s">
        <v>12</v>
      </c>
      <c r="C25" s="41" t="s">
        <v>33</v>
      </c>
      <c r="D25" s="42"/>
      <c r="E25" s="17">
        <f t="shared" si="0"/>
        <v>0</v>
      </c>
      <c r="F25" s="43"/>
      <c r="G25" s="19">
        <f t="shared" si="1"/>
        <v>0</v>
      </c>
      <c r="H25" s="44"/>
      <c r="J25" s="1"/>
    </row>
    <row r="26" spans="1:12" s="3" customFormat="1" ht="49.95" customHeight="1" thickBot="1" x14ac:dyDescent="0.5">
      <c r="A26" s="27">
        <v>20200103</v>
      </c>
      <c r="B26" s="27" t="s">
        <v>45</v>
      </c>
      <c r="C26" s="27"/>
      <c r="D26" s="9"/>
      <c r="E26" s="28">
        <f t="shared" si="0"/>
        <v>0</v>
      </c>
      <c r="F26" s="11"/>
      <c r="G26" s="12">
        <f t="shared" si="1"/>
        <v>0</v>
      </c>
      <c r="H26" s="7"/>
      <c r="J26" s="1"/>
    </row>
    <row r="27" spans="1:12" ht="49.95" customHeight="1" thickTop="1" x14ac:dyDescent="0.55000000000000004">
      <c r="A27" s="29"/>
      <c r="B27" s="30" t="s">
        <v>15</v>
      </c>
      <c r="C27" s="45"/>
      <c r="D27" s="31">
        <f>SUM(D3:D25)</f>
        <v>0</v>
      </c>
      <c r="E27" s="32">
        <f>SUM(E3:E25)</f>
        <v>0</v>
      </c>
      <c r="F27" s="33">
        <f>SUM(F3:F25)</f>
        <v>0</v>
      </c>
      <c r="G27" s="34">
        <f>SUM(G3:G25)</f>
        <v>0</v>
      </c>
      <c r="H27" s="35"/>
    </row>
    <row r="28" spans="1:12" ht="61.95" customHeight="1" x14ac:dyDescent="0.55000000000000004">
      <c r="B28" s="36" t="s">
        <v>16</v>
      </c>
      <c r="C28" s="6"/>
      <c r="D28" s="6"/>
      <c r="E28" s="37"/>
      <c r="F28" s="37"/>
      <c r="G28" s="4"/>
      <c r="H28" s="6"/>
    </row>
    <row r="31" spans="1:12" x14ac:dyDescent="0.45">
      <c r="L31" s="3"/>
    </row>
  </sheetData>
  <phoneticPr fontId="1" type="noConversion"/>
  <pageMargins left="0.51181102362204722" right="0.23622047244094491" top="0.15748031496062992" bottom="0.15748031496062992" header="0.31496062992125984" footer="0.31496062992125984"/>
  <pageSetup paperSize="9" scale="5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外務支出總表-假日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2026-06-04T01:58:58Z</dcterms:modified>
</cp:coreProperties>
</file>