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452FC86-5211-45E6-BAC8-8D350B3AC7D2}" xr6:coauthVersionLast="36" xr6:coauthVersionMax="47" xr10:uidLastSave="{00000000-0000-0000-0000-000000000000}"/>
  <bookViews>
    <workbookView xWindow="0" yWindow="0" windowWidth="19200" windowHeight="6840" tabRatio="859" activeTab="1" xr2:uid="{8D288BCF-7597-4628-941A-4826C4AF0D93}"/>
  </bookViews>
  <sheets>
    <sheet name="人員設定" sheetId="90" r:id="rId1"/>
    <sheet name="漏斗" sheetId="89" r:id="rId2"/>
    <sheet name="郭香蘭" sheetId="115" r:id="rId3"/>
    <sheet name="未識別" sheetId="113" r:id="rId4"/>
  </sheets>
  <definedNames>
    <definedName name="_xlnm._FilterDatabase" localSheetId="1" hidden="1">漏斗!$A$1:$I$6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13" l="1"/>
  <c r="H12" i="113"/>
  <c r="G12" i="113"/>
  <c r="F12" i="113"/>
  <c r="I7" i="115"/>
  <c r="H7" i="115"/>
  <c r="G7" i="115"/>
  <c r="F7" i="115"/>
</calcChain>
</file>

<file path=xl/sharedStrings.xml><?xml version="1.0" encoding="utf-8"?>
<sst xmlns="http://schemas.openxmlformats.org/spreadsheetml/2006/main" count="151" uniqueCount="99">
  <si>
    <t>20298022</t>
  </si>
  <si>
    <t>20997083</t>
  </si>
  <si>
    <t>21005222</t>
  </si>
  <si>
    <t>鄒樂勳</t>
  </si>
  <si>
    <t>林茂競</t>
  </si>
  <si>
    <t>高鄭旺</t>
  </si>
  <si>
    <t>人員編號</t>
  </si>
  <si>
    <t>姓名</t>
  </si>
  <si>
    <t>21094053</t>
  </si>
  <si>
    <t>林彥廷</t>
  </si>
  <si>
    <t>21002102</t>
  </si>
  <si>
    <t>陳育賓</t>
  </si>
  <si>
    <t>20260504</t>
  </si>
  <si>
    <t>蔡經邦</t>
  </si>
  <si>
    <t>20903101</t>
  </si>
  <si>
    <t>蕭先財</t>
  </si>
  <si>
    <t>20296012</t>
  </si>
  <si>
    <t>謝明憲</t>
  </si>
  <si>
    <t>20220418</t>
  </si>
  <si>
    <t>張振發</t>
  </si>
  <si>
    <t>20251117</t>
  </si>
  <si>
    <t>詹錫熏</t>
  </si>
  <si>
    <t>21192074</t>
  </si>
  <si>
    <t>梁志強</t>
  </si>
  <si>
    <t>20240513</t>
  </si>
  <si>
    <t>溫正杭</t>
  </si>
  <si>
    <t>20250324</t>
  </si>
  <si>
    <t>戴勝堂</t>
  </si>
  <si>
    <t>20250825</t>
  </si>
  <si>
    <t>謝文川</t>
  </si>
  <si>
    <t>20290022</t>
  </si>
  <si>
    <t>牟善賢</t>
  </si>
  <si>
    <t>20997092</t>
  </si>
  <si>
    <t>吳萌瑜</t>
  </si>
  <si>
    <t>20260305</t>
  </si>
  <si>
    <t>郭香蘭</t>
  </si>
  <si>
    <t>20296021</t>
  </si>
  <si>
    <t>詹益全</t>
  </si>
  <si>
    <t>20289041</t>
  </si>
  <si>
    <t>趙克強</t>
  </si>
  <si>
    <t>20240710</t>
  </si>
  <si>
    <t>蔡俊傑</t>
  </si>
  <si>
    <t>派件費</t>
  </si>
  <si>
    <t>派件時間</t>
    <phoneticPr fontId="1" type="noConversion"/>
  </si>
  <si>
    <t>派件員</t>
    <phoneticPr fontId="1" type="noConversion"/>
  </si>
  <si>
    <t>運單號碼</t>
    <phoneticPr fontId="1" type="noConversion"/>
  </si>
  <si>
    <t>寄件站點</t>
    <phoneticPr fontId="1" type="noConversion"/>
  </si>
  <si>
    <t>收件地址</t>
    <phoneticPr fontId="1" type="noConversion"/>
  </si>
  <si>
    <t>件數</t>
    <phoneticPr fontId="1" type="noConversion"/>
  </si>
  <si>
    <t>派件費</t>
    <phoneticPr fontId="1" type="noConversion"/>
  </si>
  <si>
    <t>加總</t>
    <phoneticPr fontId="1" type="noConversion"/>
  </si>
  <si>
    <t>TWN電商轉運中心</t>
  </si>
  <si>
    <t>東莞轉運中心</t>
  </si>
  <si>
    <t>派件時間</t>
    <phoneticPr fontId="1" type="noConversion"/>
  </si>
  <si>
    <t>派件員</t>
    <phoneticPr fontId="1" type="noConversion"/>
  </si>
  <si>
    <t>運單號碼</t>
    <phoneticPr fontId="1" type="noConversion"/>
  </si>
  <si>
    <t>寄件站點</t>
    <phoneticPr fontId="1" type="noConversion"/>
  </si>
  <si>
    <t>收件地址</t>
    <phoneticPr fontId="1" type="noConversion"/>
  </si>
  <si>
    <t>件數</t>
    <phoneticPr fontId="1" type="noConversion"/>
  </si>
  <si>
    <t>材積重</t>
    <phoneticPr fontId="1" type="noConversion"/>
  </si>
  <si>
    <t>實重</t>
    <phoneticPr fontId="1" type="noConversion"/>
  </si>
  <si>
    <t>派件費</t>
    <phoneticPr fontId="1" type="noConversion"/>
  </si>
  <si>
    <t>020001B</t>
  </si>
  <si>
    <t>8681471766</t>
  </si>
  <si>
    <t>深圳轉運中心</t>
  </si>
  <si>
    <t>台北市中山區腶宁街199巷13號1樓</t>
  </si>
  <si>
    <t>8681471784</t>
  </si>
  <si>
    <t>新北市三重區中興北街150巷16號9樓</t>
  </si>
  <si>
    <t>8681471757</t>
  </si>
  <si>
    <t>台北市中山區腶宁街199巷7號1樓</t>
  </si>
  <si>
    <t>1064396502</t>
  </si>
  <si>
    <t>新北市永和區秀朗路二段72號</t>
  </si>
  <si>
    <t>8020002658</t>
  </si>
  <si>
    <t>新北市新店區北新路三段213號4F</t>
  </si>
  <si>
    <t>加總</t>
    <phoneticPr fontId="1" type="noConversion"/>
  </si>
  <si>
    <t>ECLFD00101023435</t>
  </si>
  <si>
    <t>新北市中和區泰和街38巷11號3樓</t>
  </si>
  <si>
    <t>APELAUS260383404</t>
  </si>
  <si>
    <t>新北市蘆洲區復興路163號3樓</t>
  </si>
  <si>
    <t>20200103</t>
  </si>
  <si>
    <t>APELAUS260395448</t>
  </si>
  <si>
    <t>臺北市北投區稻香路245號4樓</t>
  </si>
  <si>
    <t>IICTW6410297666</t>
  </si>
  <si>
    <t>臺北市北投區中央北路３段40巷34弄17號3樓之3</t>
  </si>
  <si>
    <t>IICTW6410311159</t>
  </si>
  <si>
    <t>臺北市北投區中央北路３段258巷1弄2號2樓</t>
  </si>
  <si>
    <t>APELAUS260398925</t>
  </si>
  <si>
    <t>臺北市中正區金華街32巷2弄3號2樓</t>
  </si>
  <si>
    <t>IICTW6410312999</t>
  </si>
  <si>
    <t>臺北市中正區廈門街81巷8之7號2樓</t>
  </si>
  <si>
    <t>IICTW6410311203</t>
  </si>
  <si>
    <t>臺北市中正區廈門街99巷30之6號3樓</t>
  </si>
  <si>
    <t>IICTW6410313401</t>
  </si>
  <si>
    <t>臺北市中正區廈門街113巷1號7樓之5</t>
  </si>
  <si>
    <t>IICTW6410298618</t>
  </si>
  <si>
    <t>臺北市中正區牯嶺街17號</t>
  </si>
  <si>
    <t>郭香蘭</t>
    <phoneticPr fontId="1" type="noConversion"/>
  </si>
  <si>
    <t>材積重</t>
    <phoneticPr fontId="1" type="noConversion"/>
  </si>
  <si>
    <t>實重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</si>
</sst>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\-d\ h:mm;@"/>
    <numFmt numFmtId="177" formatCode="0.##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sz val="11"/>
      <color rgb="FFFFFF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D2D2D"/>
        <bgColor indexed="64"/>
      </patternFill>
    </fill>
    <fill>
      <patternFill patternType="solid">
        <fgColor rgb="FFCFC0BD"/>
        <bgColor indexed="64"/>
      </patternFill>
    </fill>
    <fill>
      <patternFill patternType="solid">
        <fgColor rgb="FFDDD5D0"/>
        <bgColor indexed="64"/>
      </patternFill>
    </fill>
    <fill>
      <patternFill patternType="solid">
        <fgColor rgb="FF586F6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" fontId="5" fillId="0" borderId="1" xfId="0" applyNumberFormat="1" applyFont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" fontId="5" fillId="0" borderId="1" xfId="0" applyNumberFormat="1" applyFont="1" applyFill="1" applyBorder="1" applyAlignment="1">
      <alignment horizontal="left" vertical="center"/>
    </xf>
    <xf numFmtId="0" fontId="3" fillId="3" borderId="0" xfId="0" applyNumberFormat="1" applyFont="1" applyFill="1" applyAlignment="1">
      <alignment horizontal="left" vertical="center"/>
    </xf>
    <xf numFmtId="177" fontId="5" fillId="3" borderId="1" xfId="0" applyNumberFormat="1" applyFont="1" applyFill="1" applyBorder="1" applyAlignment="1">
      <alignment horizontal="left" vertical="center"/>
    </xf>
    <xf numFmtId="0" fontId="3" fillId="4" borderId="0" xfId="0" applyNumberFormat="1" applyFont="1" applyFill="1" applyAlignment="1">
      <alignment horizontal="left" vertical="center"/>
    </xf>
    <xf numFmtId="177" fontId="5" fillId="4" borderId="1" xfId="0" applyNumberFormat="1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</cellXfs>
  <cellStyles count="2">
    <cellStyle name="一般" xfId="0" builtinId="0"/>
    <cellStyle name="一般 2" xfId="1" xr:uid="{00000000-0005-0000-0000-00002F000000}"/>
  </cellStyles>
  <dxfs count="0"/>
  <tableStyles count="0" defaultTableStyle="TableStyleMedium2" defaultPivotStyle="PivotStyleLight16"/>
  <colors>
    <mruColors>
      <color rgb="FF586F6B"/>
      <color rgb="FFDDD5D0"/>
      <color rgb="FFCFC0BD"/>
      <color rgb="FFBAA898"/>
      <color rgb="FF282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4367" name="btn_計算與分發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5B4384A4-71A5-497B-A48D-09F61A269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計算並分發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4368" name="btn_清空漏斗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C9AFFDF8-0CFC-443B-8F7C-6D631C661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清空漏斗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A05AA-2C87-49DB-8340-F0CBE39D2ECA}">
  <sheetPr codeName="工作表7"/>
  <dimension ref="A1:B21"/>
  <sheetViews>
    <sheetView zoomScale="115" zoomScaleNormal="115" workbookViewId="0">
      <selection activeCell="B22" sqref="B22"/>
    </sheetView>
  </sheetViews>
  <sheetFormatPr defaultRowHeight="15" x14ac:dyDescent="0.3"/>
  <cols>
    <col min="1" max="1" width="14.77734375" style="1" customWidth="1"/>
    <col min="2" max="2" width="12.77734375" style="1" customWidth="1"/>
    <col min="3" max="16384" width="8.88671875" style="1"/>
  </cols>
  <sheetData>
    <row r="1" spans="1:2" ht="19.95" customHeight="1" x14ac:dyDescent="0.3">
      <c r="A1" s="16" t="s">
        <v>6</v>
      </c>
      <c r="B1" s="16" t="s">
        <v>7</v>
      </c>
    </row>
    <row r="2" spans="1:2" x14ac:dyDescent="0.3">
      <c r="A2" s="2" t="s">
        <v>8</v>
      </c>
      <c r="B2" s="1" t="s">
        <v>9</v>
      </c>
    </row>
    <row r="3" spans="1:2" x14ac:dyDescent="0.3">
      <c r="A3" s="2" t="s">
        <v>0</v>
      </c>
      <c r="B3" s="1" t="s">
        <v>5</v>
      </c>
    </row>
    <row r="4" spans="1:2" x14ac:dyDescent="0.3">
      <c r="A4" s="2" t="s">
        <v>10</v>
      </c>
      <c r="B4" s="1" t="s">
        <v>11</v>
      </c>
    </row>
    <row r="5" spans="1:2" x14ac:dyDescent="0.3">
      <c r="A5" s="2" t="s">
        <v>12</v>
      </c>
      <c r="B5" s="1" t="s">
        <v>13</v>
      </c>
    </row>
    <row r="6" spans="1:2" x14ac:dyDescent="0.3">
      <c r="A6" s="2" t="s">
        <v>14</v>
      </c>
      <c r="B6" s="1" t="s">
        <v>15</v>
      </c>
    </row>
    <row r="7" spans="1:2" x14ac:dyDescent="0.3">
      <c r="A7" s="2" t="s">
        <v>16</v>
      </c>
      <c r="B7" s="1" t="s">
        <v>17</v>
      </c>
    </row>
    <row r="8" spans="1:2" x14ac:dyDescent="0.3">
      <c r="A8" s="2" t="s">
        <v>1</v>
      </c>
      <c r="B8" s="1" t="s">
        <v>4</v>
      </c>
    </row>
    <row r="9" spans="1:2" x14ac:dyDescent="0.3">
      <c r="A9" s="2" t="s">
        <v>18</v>
      </c>
      <c r="B9" s="1" t="s">
        <v>19</v>
      </c>
    </row>
    <row r="10" spans="1:2" x14ac:dyDescent="0.3">
      <c r="A10" s="2" t="s">
        <v>20</v>
      </c>
      <c r="B10" s="1" t="s">
        <v>21</v>
      </c>
    </row>
    <row r="11" spans="1:2" x14ac:dyDescent="0.3">
      <c r="A11" s="2" t="s">
        <v>22</v>
      </c>
      <c r="B11" s="1" t="s">
        <v>23</v>
      </c>
    </row>
    <row r="12" spans="1:2" x14ac:dyDescent="0.3">
      <c r="A12" s="2" t="s">
        <v>24</v>
      </c>
      <c r="B12" s="1" t="s">
        <v>25</v>
      </c>
    </row>
    <row r="13" spans="1:2" x14ac:dyDescent="0.3">
      <c r="A13" s="2" t="s">
        <v>26</v>
      </c>
      <c r="B13" s="1" t="s">
        <v>27</v>
      </c>
    </row>
    <row r="14" spans="1:2" x14ac:dyDescent="0.3">
      <c r="A14" s="2" t="s">
        <v>28</v>
      </c>
      <c r="B14" s="1" t="s">
        <v>29</v>
      </c>
    </row>
    <row r="15" spans="1:2" x14ac:dyDescent="0.3">
      <c r="A15" s="2" t="s">
        <v>30</v>
      </c>
      <c r="B15" s="1" t="s">
        <v>31</v>
      </c>
    </row>
    <row r="16" spans="1:2" x14ac:dyDescent="0.3">
      <c r="A16" s="2" t="s">
        <v>32</v>
      </c>
      <c r="B16" s="1" t="s">
        <v>33</v>
      </c>
    </row>
    <row r="17" spans="1:2" x14ac:dyDescent="0.3">
      <c r="A17" s="2" t="s">
        <v>34</v>
      </c>
      <c r="B17" s="1" t="s">
        <v>35</v>
      </c>
    </row>
    <row r="18" spans="1:2" x14ac:dyDescent="0.3">
      <c r="A18" s="2" t="s">
        <v>36</v>
      </c>
      <c r="B18" s="1" t="s">
        <v>37</v>
      </c>
    </row>
    <row r="19" spans="1:2" x14ac:dyDescent="0.3">
      <c r="A19" s="2" t="s">
        <v>2</v>
      </c>
      <c r="B19" s="1" t="s">
        <v>3</v>
      </c>
    </row>
    <row r="20" spans="1:2" x14ac:dyDescent="0.3">
      <c r="A20" s="2" t="s">
        <v>38</v>
      </c>
      <c r="B20" s="1" t="s">
        <v>39</v>
      </c>
    </row>
    <row r="21" spans="1:2" x14ac:dyDescent="0.3">
      <c r="A21" s="2" t="s">
        <v>40</v>
      </c>
      <c r="B21" s="1" t="s">
        <v>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AF77-DF7F-4DB7-9FA6-E16402057D5D}">
  <sheetPr codeName="工作表8"/>
  <dimension ref="A1:L6"/>
  <sheetViews>
    <sheetView tabSelected="1" zoomScale="70" zoomScaleNormal="70" workbookViewId="0">
      <pane ySplit="1" topLeftCell="A2" activePane="bottomLeft" state="frozenSplit"/>
      <selection pane="bottomLeft" activeCell="G8" sqref="G8"/>
    </sheetView>
  </sheetViews>
  <sheetFormatPr defaultRowHeight="15" x14ac:dyDescent="0.3"/>
  <cols>
    <col min="1" max="1" width="16.77734375" style="1" customWidth="1"/>
    <col min="2" max="2" width="8.77734375" style="1" customWidth="1"/>
    <col min="3" max="3" width="19.77734375" style="1" customWidth="1"/>
    <col min="4" max="4" width="18.77734375" style="1" customWidth="1"/>
    <col min="5" max="5" width="48.77734375" style="1" customWidth="1"/>
    <col min="6" max="6" width="5.77734375" style="1" customWidth="1"/>
    <col min="7" max="9" width="11.77734375" style="1" customWidth="1"/>
    <col min="10" max="11" width="14.77734375" style="1" customWidth="1"/>
    <col min="12" max="12" width="11.77734375" style="1" customWidth="1"/>
    <col min="13" max="14" width="14.77734375" style="1" customWidth="1"/>
    <col min="15" max="256" width="8.88671875" style="1"/>
    <col min="257" max="257" width="10.77734375" style="1" customWidth="1"/>
    <col min="258" max="258" width="14.5546875" style="1" customWidth="1"/>
    <col min="259" max="259" width="18.77734375" style="1" customWidth="1"/>
    <col min="260" max="260" width="14.77734375" style="1" customWidth="1"/>
    <col min="261" max="261" width="21.77734375" style="1" customWidth="1"/>
    <col min="262" max="262" width="4.77734375" style="1" customWidth="1"/>
    <col min="263" max="263" width="6.77734375" style="1" customWidth="1"/>
    <col min="264" max="264" width="5.77734375" style="1" customWidth="1"/>
    <col min="265" max="512" width="8.88671875" style="1"/>
    <col min="513" max="513" width="10.77734375" style="1" customWidth="1"/>
    <col min="514" max="514" width="14.5546875" style="1" customWidth="1"/>
    <col min="515" max="515" width="18.77734375" style="1" customWidth="1"/>
    <col min="516" max="516" width="14.77734375" style="1" customWidth="1"/>
    <col min="517" max="517" width="21.77734375" style="1" customWidth="1"/>
    <col min="518" max="518" width="4.77734375" style="1" customWidth="1"/>
    <col min="519" max="519" width="6.77734375" style="1" customWidth="1"/>
    <col min="520" max="520" width="5.77734375" style="1" customWidth="1"/>
    <col min="521" max="768" width="8.88671875" style="1"/>
    <col min="769" max="769" width="10.77734375" style="1" customWidth="1"/>
    <col min="770" max="770" width="14.5546875" style="1" customWidth="1"/>
    <col min="771" max="771" width="18.77734375" style="1" customWidth="1"/>
    <col min="772" max="772" width="14.77734375" style="1" customWidth="1"/>
    <col min="773" max="773" width="21.77734375" style="1" customWidth="1"/>
    <col min="774" max="774" width="4.77734375" style="1" customWidth="1"/>
    <col min="775" max="775" width="6.77734375" style="1" customWidth="1"/>
    <col min="776" max="776" width="5.77734375" style="1" customWidth="1"/>
    <col min="777" max="1024" width="8.88671875" style="1"/>
    <col min="1025" max="1025" width="10.77734375" style="1" customWidth="1"/>
    <col min="1026" max="1026" width="14.5546875" style="1" customWidth="1"/>
    <col min="1027" max="1027" width="18.77734375" style="1" customWidth="1"/>
    <col min="1028" max="1028" width="14.77734375" style="1" customWidth="1"/>
    <col min="1029" max="1029" width="21.77734375" style="1" customWidth="1"/>
    <col min="1030" max="1030" width="4.77734375" style="1" customWidth="1"/>
    <col min="1031" max="1031" width="6.77734375" style="1" customWidth="1"/>
    <col min="1032" max="1032" width="5.77734375" style="1" customWidth="1"/>
    <col min="1033" max="1280" width="8.88671875" style="1"/>
    <col min="1281" max="1281" width="10.77734375" style="1" customWidth="1"/>
    <col min="1282" max="1282" width="14.5546875" style="1" customWidth="1"/>
    <col min="1283" max="1283" width="18.77734375" style="1" customWidth="1"/>
    <col min="1284" max="1284" width="14.77734375" style="1" customWidth="1"/>
    <col min="1285" max="1285" width="21.77734375" style="1" customWidth="1"/>
    <col min="1286" max="1286" width="4.77734375" style="1" customWidth="1"/>
    <col min="1287" max="1287" width="6.77734375" style="1" customWidth="1"/>
    <col min="1288" max="1288" width="5.77734375" style="1" customWidth="1"/>
    <col min="1289" max="1536" width="8.88671875" style="1"/>
    <col min="1537" max="1537" width="10.77734375" style="1" customWidth="1"/>
    <col min="1538" max="1538" width="14.5546875" style="1" customWidth="1"/>
    <col min="1539" max="1539" width="18.77734375" style="1" customWidth="1"/>
    <col min="1540" max="1540" width="14.77734375" style="1" customWidth="1"/>
    <col min="1541" max="1541" width="21.77734375" style="1" customWidth="1"/>
    <col min="1542" max="1542" width="4.77734375" style="1" customWidth="1"/>
    <col min="1543" max="1543" width="6.77734375" style="1" customWidth="1"/>
    <col min="1544" max="1544" width="5.77734375" style="1" customWidth="1"/>
    <col min="1545" max="1792" width="8.88671875" style="1"/>
    <col min="1793" max="1793" width="10.77734375" style="1" customWidth="1"/>
    <col min="1794" max="1794" width="14.5546875" style="1" customWidth="1"/>
    <col min="1795" max="1795" width="18.77734375" style="1" customWidth="1"/>
    <col min="1796" max="1796" width="14.77734375" style="1" customWidth="1"/>
    <col min="1797" max="1797" width="21.77734375" style="1" customWidth="1"/>
    <col min="1798" max="1798" width="4.77734375" style="1" customWidth="1"/>
    <col min="1799" max="1799" width="6.77734375" style="1" customWidth="1"/>
    <col min="1800" max="1800" width="5.77734375" style="1" customWidth="1"/>
    <col min="1801" max="2048" width="8.88671875" style="1"/>
    <col min="2049" max="2049" width="10.77734375" style="1" customWidth="1"/>
    <col min="2050" max="2050" width="14.5546875" style="1" customWidth="1"/>
    <col min="2051" max="2051" width="18.77734375" style="1" customWidth="1"/>
    <col min="2052" max="2052" width="14.77734375" style="1" customWidth="1"/>
    <col min="2053" max="2053" width="21.77734375" style="1" customWidth="1"/>
    <col min="2054" max="2054" width="4.77734375" style="1" customWidth="1"/>
    <col min="2055" max="2055" width="6.77734375" style="1" customWidth="1"/>
    <col min="2056" max="2056" width="5.77734375" style="1" customWidth="1"/>
    <col min="2057" max="2304" width="8.88671875" style="1"/>
    <col min="2305" max="2305" width="10.77734375" style="1" customWidth="1"/>
    <col min="2306" max="2306" width="14.5546875" style="1" customWidth="1"/>
    <col min="2307" max="2307" width="18.77734375" style="1" customWidth="1"/>
    <col min="2308" max="2308" width="14.77734375" style="1" customWidth="1"/>
    <col min="2309" max="2309" width="21.77734375" style="1" customWidth="1"/>
    <col min="2310" max="2310" width="4.77734375" style="1" customWidth="1"/>
    <col min="2311" max="2311" width="6.77734375" style="1" customWidth="1"/>
    <col min="2312" max="2312" width="5.77734375" style="1" customWidth="1"/>
    <col min="2313" max="2560" width="8.88671875" style="1"/>
    <col min="2561" max="2561" width="10.77734375" style="1" customWidth="1"/>
    <col min="2562" max="2562" width="14.5546875" style="1" customWidth="1"/>
    <col min="2563" max="2563" width="18.77734375" style="1" customWidth="1"/>
    <col min="2564" max="2564" width="14.77734375" style="1" customWidth="1"/>
    <col min="2565" max="2565" width="21.77734375" style="1" customWidth="1"/>
    <col min="2566" max="2566" width="4.77734375" style="1" customWidth="1"/>
    <col min="2567" max="2567" width="6.77734375" style="1" customWidth="1"/>
    <col min="2568" max="2568" width="5.77734375" style="1" customWidth="1"/>
    <col min="2569" max="2816" width="8.88671875" style="1"/>
    <col min="2817" max="2817" width="10.77734375" style="1" customWidth="1"/>
    <col min="2818" max="2818" width="14.5546875" style="1" customWidth="1"/>
    <col min="2819" max="2819" width="18.77734375" style="1" customWidth="1"/>
    <col min="2820" max="2820" width="14.77734375" style="1" customWidth="1"/>
    <col min="2821" max="2821" width="21.77734375" style="1" customWidth="1"/>
    <col min="2822" max="2822" width="4.77734375" style="1" customWidth="1"/>
    <col min="2823" max="2823" width="6.77734375" style="1" customWidth="1"/>
    <col min="2824" max="2824" width="5.77734375" style="1" customWidth="1"/>
    <col min="2825" max="3072" width="8.88671875" style="1"/>
    <col min="3073" max="3073" width="10.77734375" style="1" customWidth="1"/>
    <col min="3074" max="3074" width="14.5546875" style="1" customWidth="1"/>
    <col min="3075" max="3075" width="18.77734375" style="1" customWidth="1"/>
    <col min="3076" max="3076" width="14.77734375" style="1" customWidth="1"/>
    <col min="3077" max="3077" width="21.77734375" style="1" customWidth="1"/>
    <col min="3078" max="3078" width="4.77734375" style="1" customWidth="1"/>
    <col min="3079" max="3079" width="6.77734375" style="1" customWidth="1"/>
    <col min="3080" max="3080" width="5.77734375" style="1" customWidth="1"/>
    <col min="3081" max="3328" width="8.88671875" style="1"/>
    <col min="3329" max="3329" width="10.77734375" style="1" customWidth="1"/>
    <col min="3330" max="3330" width="14.5546875" style="1" customWidth="1"/>
    <col min="3331" max="3331" width="18.77734375" style="1" customWidth="1"/>
    <col min="3332" max="3332" width="14.77734375" style="1" customWidth="1"/>
    <col min="3333" max="3333" width="21.77734375" style="1" customWidth="1"/>
    <col min="3334" max="3334" width="4.77734375" style="1" customWidth="1"/>
    <col min="3335" max="3335" width="6.77734375" style="1" customWidth="1"/>
    <col min="3336" max="3336" width="5.77734375" style="1" customWidth="1"/>
    <col min="3337" max="3584" width="8.88671875" style="1"/>
    <col min="3585" max="3585" width="10.77734375" style="1" customWidth="1"/>
    <col min="3586" max="3586" width="14.5546875" style="1" customWidth="1"/>
    <col min="3587" max="3587" width="18.77734375" style="1" customWidth="1"/>
    <col min="3588" max="3588" width="14.77734375" style="1" customWidth="1"/>
    <col min="3589" max="3589" width="21.77734375" style="1" customWidth="1"/>
    <col min="3590" max="3590" width="4.77734375" style="1" customWidth="1"/>
    <col min="3591" max="3591" width="6.77734375" style="1" customWidth="1"/>
    <col min="3592" max="3592" width="5.77734375" style="1" customWidth="1"/>
    <col min="3593" max="3840" width="8.88671875" style="1"/>
    <col min="3841" max="3841" width="10.77734375" style="1" customWidth="1"/>
    <col min="3842" max="3842" width="14.5546875" style="1" customWidth="1"/>
    <col min="3843" max="3843" width="18.77734375" style="1" customWidth="1"/>
    <col min="3844" max="3844" width="14.77734375" style="1" customWidth="1"/>
    <col min="3845" max="3845" width="21.77734375" style="1" customWidth="1"/>
    <col min="3846" max="3846" width="4.77734375" style="1" customWidth="1"/>
    <col min="3847" max="3847" width="6.77734375" style="1" customWidth="1"/>
    <col min="3848" max="3848" width="5.77734375" style="1" customWidth="1"/>
    <col min="3849" max="4096" width="8.88671875" style="1"/>
    <col min="4097" max="4097" width="10.77734375" style="1" customWidth="1"/>
    <col min="4098" max="4098" width="14.5546875" style="1" customWidth="1"/>
    <col min="4099" max="4099" width="18.77734375" style="1" customWidth="1"/>
    <col min="4100" max="4100" width="14.77734375" style="1" customWidth="1"/>
    <col min="4101" max="4101" width="21.77734375" style="1" customWidth="1"/>
    <col min="4102" max="4102" width="4.77734375" style="1" customWidth="1"/>
    <col min="4103" max="4103" width="6.77734375" style="1" customWidth="1"/>
    <col min="4104" max="4104" width="5.77734375" style="1" customWidth="1"/>
    <col min="4105" max="4352" width="8.88671875" style="1"/>
    <col min="4353" max="4353" width="10.77734375" style="1" customWidth="1"/>
    <col min="4354" max="4354" width="14.5546875" style="1" customWidth="1"/>
    <col min="4355" max="4355" width="18.77734375" style="1" customWidth="1"/>
    <col min="4356" max="4356" width="14.77734375" style="1" customWidth="1"/>
    <col min="4357" max="4357" width="21.77734375" style="1" customWidth="1"/>
    <col min="4358" max="4358" width="4.77734375" style="1" customWidth="1"/>
    <col min="4359" max="4359" width="6.77734375" style="1" customWidth="1"/>
    <col min="4360" max="4360" width="5.77734375" style="1" customWidth="1"/>
    <col min="4361" max="4608" width="8.88671875" style="1"/>
    <col min="4609" max="4609" width="10.77734375" style="1" customWidth="1"/>
    <col min="4610" max="4610" width="14.5546875" style="1" customWidth="1"/>
    <col min="4611" max="4611" width="18.77734375" style="1" customWidth="1"/>
    <col min="4612" max="4612" width="14.77734375" style="1" customWidth="1"/>
    <col min="4613" max="4613" width="21.77734375" style="1" customWidth="1"/>
    <col min="4614" max="4614" width="4.77734375" style="1" customWidth="1"/>
    <col min="4615" max="4615" width="6.77734375" style="1" customWidth="1"/>
    <col min="4616" max="4616" width="5.77734375" style="1" customWidth="1"/>
    <col min="4617" max="4864" width="8.88671875" style="1"/>
    <col min="4865" max="4865" width="10.77734375" style="1" customWidth="1"/>
    <col min="4866" max="4866" width="14.5546875" style="1" customWidth="1"/>
    <col min="4867" max="4867" width="18.77734375" style="1" customWidth="1"/>
    <col min="4868" max="4868" width="14.77734375" style="1" customWidth="1"/>
    <col min="4869" max="4869" width="21.77734375" style="1" customWidth="1"/>
    <col min="4870" max="4870" width="4.77734375" style="1" customWidth="1"/>
    <col min="4871" max="4871" width="6.77734375" style="1" customWidth="1"/>
    <col min="4872" max="4872" width="5.77734375" style="1" customWidth="1"/>
    <col min="4873" max="5120" width="8.88671875" style="1"/>
    <col min="5121" max="5121" width="10.77734375" style="1" customWidth="1"/>
    <col min="5122" max="5122" width="14.5546875" style="1" customWidth="1"/>
    <col min="5123" max="5123" width="18.77734375" style="1" customWidth="1"/>
    <col min="5124" max="5124" width="14.77734375" style="1" customWidth="1"/>
    <col min="5125" max="5125" width="21.77734375" style="1" customWidth="1"/>
    <col min="5126" max="5126" width="4.77734375" style="1" customWidth="1"/>
    <col min="5127" max="5127" width="6.77734375" style="1" customWidth="1"/>
    <col min="5128" max="5128" width="5.77734375" style="1" customWidth="1"/>
    <col min="5129" max="5376" width="8.88671875" style="1"/>
    <col min="5377" max="5377" width="10.77734375" style="1" customWidth="1"/>
    <col min="5378" max="5378" width="14.5546875" style="1" customWidth="1"/>
    <col min="5379" max="5379" width="18.77734375" style="1" customWidth="1"/>
    <col min="5380" max="5380" width="14.77734375" style="1" customWidth="1"/>
    <col min="5381" max="5381" width="21.77734375" style="1" customWidth="1"/>
    <col min="5382" max="5382" width="4.77734375" style="1" customWidth="1"/>
    <col min="5383" max="5383" width="6.77734375" style="1" customWidth="1"/>
    <col min="5384" max="5384" width="5.77734375" style="1" customWidth="1"/>
    <col min="5385" max="5632" width="8.88671875" style="1"/>
    <col min="5633" max="5633" width="10.77734375" style="1" customWidth="1"/>
    <col min="5634" max="5634" width="14.5546875" style="1" customWidth="1"/>
    <col min="5635" max="5635" width="18.77734375" style="1" customWidth="1"/>
    <col min="5636" max="5636" width="14.77734375" style="1" customWidth="1"/>
    <col min="5637" max="5637" width="21.77734375" style="1" customWidth="1"/>
    <col min="5638" max="5638" width="4.77734375" style="1" customWidth="1"/>
    <col min="5639" max="5639" width="6.77734375" style="1" customWidth="1"/>
    <col min="5640" max="5640" width="5.77734375" style="1" customWidth="1"/>
    <col min="5641" max="5888" width="8.88671875" style="1"/>
    <col min="5889" max="5889" width="10.77734375" style="1" customWidth="1"/>
    <col min="5890" max="5890" width="14.5546875" style="1" customWidth="1"/>
    <col min="5891" max="5891" width="18.77734375" style="1" customWidth="1"/>
    <col min="5892" max="5892" width="14.77734375" style="1" customWidth="1"/>
    <col min="5893" max="5893" width="21.77734375" style="1" customWidth="1"/>
    <col min="5894" max="5894" width="4.77734375" style="1" customWidth="1"/>
    <col min="5895" max="5895" width="6.77734375" style="1" customWidth="1"/>
    <col min="5896" max="5896" width="5.77734375" style="1" customWidth="1"/>
    <col min="5897" max="6144" width="8.88671875" style="1"/>
    <col min="6145" max="6145" width="10.77734375" style="1" customWidth="1"/>
    <col min="6146" max="6146" width="14.5546875" style="1" customWidth="1"/>
    <col min="6147" max="6147" width="18.77734375" style="1" customWidth="1"/>
    <col min="6148" max="6148" width="14.77734375" style="1" customWidth="1"/>
    <col min="6149" max="6149" width="21.77734375" style="1" customWidth="1"/>
    <col min="6150" max="6150" width="4.77734375" style="1" customWidth="1"/>
    <col min="6151" max="6151" width="6.77734375" style="1" customWidth="1"/>
    <col min="6152" max="6152" width="5.77734375" style="1" customWidth="1"/>
    <col min="6153" max="6400" width="8.88671875" style="1"/>
    <col min="6401" max="6401" width="10.77734375" style="1" customWidth="1"/>
    <col min="6402" max="6402" width="14.5546875" style="1" customWidth="1"/>
    <col min="6403" max="6403" width="18.77734375" style="1" customWidth="1"/>
    <col min="6404" max="6404" width="14.77734375" style="1" customWidth="1"/>
    <col min="6405" max="6405" width="21.77734375" style="1" customWidth="1"/>
    <col min="6406" max="6406" width="4.77734375" style="1" customWidth="1"/>
    <col min="6407" max="6407" width="6.77734375" style="1" customWidth="1"/>
    <col min="6408" max="6408" width="5.77734375" style="1" customWidth="1"/>
    <col min="6409" max="6656" width="8.88671875" style="1"/>
    <col min="6657" max="6657" width="10.77734375" style="1" customWidth="1"/>
    <col min="6658" max="6658" width="14.5546875" style="1" customWidth="1"/>
    <col min="6659" max="6659" width="18.77734375" style="1" customWidth="1"/>
    <col min="6660" max="6660" width="14.77734375" style="1" customWidth="1"/>
    <col min="6661" max="6661" width="21.77734375" style="1" customWidth="1"/>
    <col min="6662" max="6662" width="4.77734375" style="1" customWidth="1"/>
    <col min="6663" max="6663" width="6.77734375" style="1" customWidth="1"/>
    <col min="6664" max="6664" width="5.77734375" style="1" customWidth="1"/>
    <col min="6665" max="6912" width="8.88671875" style="1"/>
    <col min="6913" max="6913" width="10.77734375" style="1" customWidth="1"/>
    <col min="6914" max="6914" width="14.5546875" style="1" customWidth="1"/>
    <col min="6915" max="6915" width="18.77734375" style="1" customWidth="1"/>
    <col min="6916" max="6916" width="14.77734375" style="1" customWidth="1"/>
    <col min="6917" max="6917" width="21.77734375" style="1" customWidth="1"/>
    <col min="6918" max="6918" width="4.77734375" style="1" customWidth="1"/>
    <col min="6919" max="6919" width="6.77734375" style="1" customWidth="1"/>
    <col min="6920" max="6920" width="5.77734375" style="1" customWidth="1"/>
    <col min="6921" max="7168" width="8.88671875" style="1"/>
    <col min="7169" max="7169" width="10.77734375" style="1" customWidth="1"/>
    <col min="7170" max="7170" width="14.5546875" style="1" customWidth="1"/>
    <col min="7171" max="7171" width="18.77734375" style="1" customWidth="1"/>
    <col min="7172" max="7172" width="14.77734375" style="1" customWidth="1"/>
    <col min="7173" max="7173" width="21.77734375" style="1" customWidth="1"/>
    <col min="7174" max="7174" width="4.77734375" style="1" customWidth="1"/>
    <col min="7175" max="7175" width="6.77734375" style="1" customWidth="1"/>
    <col min="7176" max="7176" width="5.77734375" style="1" customWidth="1"/>
    <col min="7177" max="7424" width="8.88671875" style="1"/>
    <col min="7425" max="7425" width="10.77734375" style="1" customWidth="1"/>
    <col min="7426" max="7426" width="14.5546875" style="1" customWidth="1"/>
    <col min="7427" max="7427" width="18.77734375" style="1" customWidth="1"/>
    <col min="7428" max="7428" width="14.77734375" style="1" customWidth="1"/>
    <col min="7429" max="7429" width="21.77734375" style="1" customWidth="1"/>
    <col min="7430" max="7430" width="4.77734375" style="1" customWidth="1"/>
    <col min="7431" max="7431" width="6.77734375" style="1" customWidth="1"/>
    <col min="7432" max="7432" width="5.77734375" style="1" customWidth="1"/>
    <col min="7433" max="7680" width="8.88671875" style="1"/>
    <col min="7681" max="7681" width="10.77734375" style="1" customWidth="1"/>
    <col min="7682" max="7682" width="14.5546875" style="1" customWidth="1"/>
    <col min="7683" max="7683" width="18.77734375" style="1" customWidth="1"/>
    <col min="7684" max="7684" width="14.77734375" style="1" customWidth="1"/>
    <col min="7685" max="7685" width="21.77734375" style="1" customWidth="1"/>
    <col min="7686" max="7686" width="4.77734375" style="1" customWidth="1"/>
    <col min="7687" max="7687" width="6.77734375" style="1" customWidth="1"/>
    <col min="7688" max="7688" width="5.77734375" style="1" customWidth="1"/>
    <col min="7689" max="7936" width="8.88671875" style="1"/>
    <col min="7937" max="7937" width="10.77734375" style="1" customWidth="1"/>
    <col min="7938" max="7938" width="14.5546875" style="1" customWidth="1"/>
    <col min="7939" max="7939" width="18.77734375" style="1" customWidth="1"/>
    <col min="7940" max="7940" width="14.77734375" style="1" customWidth="1"/>
    <col min="7941" max="7941" width="21.77734375" style="1" customWidth="1"/>
    <col min="7942" max="7942" width="4.77734375" style="1" customWidth="1"/>
    <col min="7943" max="7943" width="6.77734375" style="1" customWidth="1"/>
    <col min="7944" max="7944" width="5.77734375" style="1" customWidth="1"/>
    <col min="7945" max="8192" width="8.88671875" style="1"/>
    <col min="8193" max="8193" width="10.77734375" style="1" customWidth="1"/>
    <col min="8194" max="8194" width="14.5546875" style="1" customWidth="1"/>
    <col min="8195" max="8195" width="18.77734375" style="1" customWidth="1"/>
    <col min="8196" max="8196" width="14.77734375" style="1" customWidth="1"/>
    <col min="8197" max="8197" width="21.77734375" style="1" customWidth="1"/>
    <col min="8198" max="8198" width="4.77734375" style="1" customWidth="1"/>
    <col min="8199" max="8199" width="6.77734375" style="1" customWidth="1"/>
    <col min="8200" max="8200" width="5.77734375" style="1" customWidth="1"/>
    <col min="8201" max="8448" width="8.88671875" style="1"/>
    <col min="8449" max="8449" width="10.77734375" style="1" customWidth="1"/>
    <col min="8450" max="8450" width="14.5546875" style="1" customWidth="1"/>
    <col min="8451" max="8451" width="18.77734375" style="1" customWidth="1"/>
    <col min="8452" max="8452" width="14.77734375" style="1" customWidth="1"/>
    <col min="8453" max="8453" width="21.77734375" style="1" customWidth="1"/>
    <col min="8454" max="8454" width="4.77734375" style="1" customWidth="1"/>
    <col min="8455" max="8455" width="6.77734375" style="1" customWidth="1"/>
    <col min="8456" max="8456" width="5.77734375" style="1" customWidth="1"/>
    <col min="8457" max="8704" width="8.88671875" style="1"/>
    <col min="8705" max="8705" width="10.77734375" style="1" customWidth="1"/>
    <col min="8706" max="8706" width="14.5546875" style="1" customWidth="1"/>
    <col min="8707" max="8707" width="18.77734375" style="1" customWidth="1"/>
    <col min="8708" max="8708" width="14.77734375" style="1" customWidth="1"/>
    <col min="8709" max="8709" width="21.77734375" style="1" customWidth="1"/>
    <col min="8710" max="8710" width="4.77734375" style="1" customWidth="1"/>
    <col min="8711" max="8711" width="6.77734375" style="1" customWidth="1"/>
    <col min="8712" max="8712" width="5.77734375" style="1" customWidth="1"/>
    <col min="8713" max="8960" width="8.88671875" style="1"/>
    <col min="8961" max="8961" width="10.77734375" style="1" customWidth="1"/>
    <col min="8962" max="8962" width="14.5546875" style="1" customWidth="1"/>
    <col min="8963" max="8963" width="18.77734375" style="1" customWidth="1"/>
    <col min="8964" max="8964" width="14.77734375" style="1" customWidth="1"/>
    <col min="8965" max="8965" width="21.77734375" style="1" customWidth="1"/>
    <col min="8966" max="8966" width="4.77734375" style="1" customWidth="1"/>
    <col min="8967" max="8967" width="6.77734375" style="1" customWidth="1"/>
    <col min="8968" max="8968" width="5.77734375" style="1" customWidth="1"/>
    <col min="8969" max="9216" width="8.88671875" style="1"/>
    <col min="9217" max="9217" width="10.77734375" style="1" customWidth="1"/>
    <col min="9218" max="9218" width="14.5546875" style="1" customWidth="1"/>
    <col min="9219" max="9219" width="18.77734375" style="1" customWidth="1"/>
    <col min="9220" max="9220" width="14.77734375" style="1" customWidth="1"/>
    <col min="9221" max="9221" width="21.77734375" style="1" customWidth="1"/>
    <col min="9222" max="9222" width="4.77734375" style="1" customWidth="1"/>
    <col min="9223" max="9223" width="6.77734375" style="1" customWidth="1"/>
    <col min="9224" max="9224" width="5.77734375" style="1" customWidth="1"/>
    <col min="9225" max="9472" width="8.88671875" style="1"/>
    <col min="9473" max="9473" width="10.77734375" style="1" customWidth="1"/>
    <col min="9474" max="9474" width="14.5546875" style="1" customWidth="1"/>
    <col min="9475" max="9475" width="18.77734375" style="1" customWidth="1"/>
    <col min="9476" max="9476" width="14.77734375" style="1" customWidth="1"/>
    <col min="9477" max="9477" width="21.77734375" style="1" customWidth="1"/>
    <col min="9478" max="9478" width="4.77734375" style="1" customWidth="1"/>
    <col min="9479" max="9479" width="6.77734375" style="1" customWidth="1"/>
    <col min="9480" max="9480" width="5.77734375" style="1" customWidth="1"/>
    <col min="9481" max="9728" width="8.88671875" style="1"/>
    <col min="9729" max="9729" width="10.77734375" style="1" customWidth="1"/>
    <col min="9730" max="9730" width="14.5546875" style="1" customWidth="1"/>
    <col min="9731" max="9731" width="18.77734375" style="1" customWidth="1"/>
    <col min="9732" max="9732" width="14.77734375" style="1" customWidth="1"/>
    <col min="9733" max="9733" width="21.77734375" style="1" customWidth="1"/>
    <col min="9734" max="9734" width="4.77734375" style="1" customWidth="1"/>
    <col min="9735" max="9735" width="6.77734375" style="1" customWidth="1"/>
    <col min="9736" max="9736" width="5.77734375" style="1" customWidth="1"/>
    <col min="9737" max="9984" width="8.88671875" style="1"/>
    <col min="9985" max="9985" width="10.77734375" style="1" customWidth="1"/>
    <col min="9986" max="9986" width="14.5546875" style="1" customWidth="1"/>
    <col min="9987" max="9987" width="18.77734375" style="1" customWidth="1"/>
    <col min="9988" max="9988" width="14.77734375" style="1" customWidth="1"/>
    <col min="9989" max="9989" width="21.77734375" style="1" customWidth="1"/>
    <col min="9990" max="9990" width="4.77734375" style="1" customWidth="1"/>
    <col min="9991" max="9991" width="6.77734375" style="1" customWidth="1"/>
    <col min="9992" max="9992" width="5.77734375" style="1" customWidth="1"/>
    <col min="9993" max="10240" width="8.88671875" style="1"/>
    <col min="10241" max="10241" width="10.77734375" style="1" customWidth="1"/>
    <col min="10242" max="10242" width="14.5546875" style="1" customWidth="1"/>
    <col min="10243" max="10243" width="18.77734375" style="1" customWidth="1"/>
    <col min="10244" max="10244" width="14.77734375" style="1" customWidth="1"/>
    <col min="10245" max="10245" width="21.77734375" style="1" customWidth="1"/>
    <col min="10246" max="10246" width="4.77734375" style="1" customWidth="1"/>
    <col min="10247" max="10247" width="6.77734375" style="1" customWidth="1"/>
    <col min="10248" max="10248" width="5.77734375" style="1" customWidth="1"/>
    <col min="10249" max="10496" width="8.88671875" style="1"/>
    <col min="10497" max="10497" width="10.77734375" style="1" customWidth="1"/>
    <col min="10498" max="10498" width="14.5546875" style="1" customWidth="1"/>
    <col min="10499" max="10499" width="18.77734375" style="1" customWidth="1"/>
    <col min="10500" max="10500" width="14.77734375" style="1" customWidth="1"/>
    <col min="10501" max="10501" width="21.77734375" style="1" customWidth="1"/>
    <col min="10502" max="10502" width="4.77734375" style="1" customWidth="1"/>
    <col min="10503" max="10503" width="6.77734375" style="1" customWidth="1"/>
    <col min="10504" max="10504" width="5.77734375" style="1" customWidth="1"/>
    <col min="10505" max="10752" width="8.88671875" style="1"/>
    <col min="10753" max="10753" width="10.77734375" style="1" customWidth="1"/>
    <col min="10754" max="10754" width="14.5546875" style="1" customWidth="1"/>
    <col min="10755" max="10755" width="18.77734375" style="1" customWidth="1"/>
    <col min="10756" max="10756" width="14.77734375" style="1" customWidth="1"/>
    <col min="10757" max="10757" width="21.77734375" style="1" customWidth="1"/>
    <col min="10758" max="10758" width="4.77734375" style="1" customWidth="1"/>
    <col min="10759" max="10759" width="6.77734375" style="1" customWidth="1"/>
    <col min="10760" max="10760" width="5.77734375" style="1" customWidth="1"/>
    <col min="10761" max="11008" width="8.88671875" style="1"/>
    <col min="11009" max="11009" width="10.77734375" style="1" customWidth="1"/>
    <col min="11010" max="11010" width="14.5546875" style="1" customWidth="1"/>
    <col min="11011" max="11011" width="18.77734375" style="1" customWidth="1"/>
    <col min="11012" max="11012" width="14.77734375" style="1" customWidth="1"/>
    <col min="11013" max="11013" width="21.77734375" style="1" customWidth="1"/>
    <col min="11014" max="11014" width="4.77734375" style="1" customWidth="1"/>
    <col min="11015" max="11015" width="6.77734375" style="1" customWidth="1"/>
    <col min="11016" max="11016" width="5.77734375" style="1" customWidth="1"/>
    <col min="11017" max="11264" width="8.88671875" style="1"/>
    <col min="11265" max="11265" width="10.77734375" style="1" customWidth="1"/>
    <col min="11266" max="11266" width="14.5546875" style="1" customWidth="1"/>
    <col min="11267" max="11267" width="18.77734375" style="1" customWidth="1"/>
    <col min="11268" max="11268" width="14.77734375" style="1" customWidth="1"/>
    <col min="11269" max="11269" width="21.77734375" style="1" customWidth="1"/>
    <col min="11270" max="11270" width="4.77734375" style="1" customWidth="1"/>
    <col min="11271" max="11271" width="6.77734375" style="1" customWidth="1"/>
    <col min="11272" max="11272" width="5.77734375" style="1" customWidth="1"/>
    <col min="11273" max="11520" width="8.88671875" style="1"/>
    <col min="11521" max="11521" width="10.77734375" style="1" customWidth="1"/>
    <col min="11522" max="11522" width="14.5546875" style="1" customWidth="1"/>
    <col min="11523" max="11523" width="18.77734375" style="1" customWidth="1"/>
    <col min="11524" max="11524" width="14.77734375" style="1" customWidth="1"/>
    <col min="11525" max="11525" width="21.77734375" style="1" customWidth="1"/>
    <col min="11526" max="11526" width="4.77734375" style="1" customWidth="1"/>
    <col min="11527" max="11527" width="6.77734375" style="1" customWidth="1"/>
    <col min="11528" max="11528" width="5.77734375" style="1" customWidth="1"/>
    <col min="11529" max="11776" width="8.88671875" style="1"/>
    <col min="11777" max="11777" width="10.77734375" style="1" customWidth="1"/>
    <col min="11778" max="11778" width="14.5546875" style="1" customWidth="1"/>
    <col min="11779" max="11779" width="18.77734375" style="1" customWidth="1"/>
    <col min="11780" max="11780" width="14.77734375" style="1" customWidth="1"/>
    <col min="11781" max="11781" width="21.77734375" style="1" customWidth="1"/>
    <col min="11782" max="11782" width="4.77734375" style="1" customWidth="1"/>
    <col min="11783" max="11783" width="6.77734375" style="1" customWidth="1"/>
    <col min="11784" max="11784" width="5.77734375" style="1" customWidth="1"/>
    <col min="11785" max="12032" width="8.88671875" style="1"/>
    <col min="12033" max="12033" width="10.77734375" style="1" customWidth="1"/>
    <col min="12034" max="12034" width="14.5546875" style="1" customWidth="1"/>
    <col min="12035" max="12035" width="18.77734375" style="1" customWidth="1"/>
    <col min="12036" max="12036" width="14.77734375" style="1" customWidth="1"/>
    <col min="12037" max="12037" width="21.77734375" style="1" customWidth="1"/>
    <col min="12038" max="12038" width="4.77734375" style="1" customWidth="1"/>
    <col min="12039" max="12039" width="6.77734375" style="1" customWidth="1"/>
    <col min="12040" max="12040" width="5.77734375" style="1" customWidth="1"/>
    <col min="12041" max="12288" width="8.88671875" style="1"/>
    <col min="12289" max="12289" width="10.77734375" style="1" customWidth="1"/>
    <col min="12290" max="12290" width="14.5546875" style="1" customWidth="1"/>
    <col min="12291" max="12291" width="18.77734375" style="1" customWidth="1"/>
    <col min="12292" max="12292" width="14.77734375" style="1" customWidth="1"/>
    <col min="12293" max="12293" width="21.77734375" style="1" customWidth="1"/>
    <col min="12294" max="12294" width="4.77734375" style="1" customWidth="1"/>
    <col min="12295" max="12295" width="6.77734375" style="1" customWidth="1"/>
    <col min="12296" max="12296" width="5.77734375" style="1" customWidth="1"/>
    <col min="12297" max="12544" width="8.88671875" style="1"/>
    <col min="12545" max="12545" width="10.77734375" style="1" customWidth="1"/>
    <col min="12546" max="12546" width="14.5546875" style="1" customWidth="1"/>
    <col min="12547" max="12547" width="18.77734375" style="1" customWidth="1"/>
    <col min="12548" max="12548" width="14.77734375" style="1" customWidth="1"/>
    <col min="12549" max="12549" width="21.77734375" style="1" customWidth="1"/>
    <col min="12550" max="12550" width="4.77734375" style="1" customWidth="1"/>
    <col min="12551" max="12551" width="6.77734375" style="1" customWidth="1"/>
    <col min="12552" max="12552" width="5.77734375" style="1" customWidth="1"/>
    <col min="12553" max="12800" width="8.88671875" style="1"/>
    <col min="12801" max="12801" width="10.77734375" style="1" customWidth="1"/>
    <col min="12802" max="12802" width="14.5546875" style="1" customWidth="1"/>
    <col min="12803" max="12803" width="18.77734375" style="1" customWidth="1"/>
    <col min="12804" max="12804" width="14.77734375" style="1" customWidth="1"/>
    <col min="12805" max="12805" width="21.77734375" style="1" customWidth="1"/>
    <col min="12806" max="12806" width="4.77734375" style="1" customWidth="1"/>
    <col min="12807" max="12807" width="6.77734375" style="1" customWidth="1"/>
    <col min="12808" max="12808" width="5.77734375" style="1" customWidth="1"/>
    <col min="12809" max="13056" width="8.88671875" style="1"/>
    <col min="13057" max="13057" width="10.77734375" style="1" customWidth="1"/>
    <col min="13058" max="13058" width="14.5546875" style="1" customWidth="1"/>
    <col min="13059" max="13059" width="18.77734375" style="1" customWidth="1"/>
    <col min="13060" max="13060" width="14.77734375" style="1" customWidth="1"/>
    <col min="13061" max="13061" width="21.77734375" style="1" customWidth="1"/>
    <col min="13062" max="13062" width="4.77734375" style="1" customWidth="1"/>
    <col min="13063" max="13063" width="6.77734375" style="1" customWidth="1"/>
    <col min="13064" max="13064" width="5.77734375" style="1" customWidth="1"/>
    <col min="13065" max="13312" width="8.88671875" style="1"/>
    <col min="13313" max="13313" width="10.77734375" style="1" customWidth="1"/>
    <col min="13314" max="13314" width="14.5546875" style="1" customWidth="1"/>
    <col min="13315" max="13315" width="18.77734375" style="1" customWidth="1"/>
    <col min="13316" max="13316" width="14.77734375" style="1" customWidth="1"/>
    <col min="13317" max="13317" width="21.77734375" style="1" customWidth="1"/>
    <col min="13318" max="13318" width="4.77734375" style="1" customWidth="1"/>
    <col min="13319" max="13319" width="6.77734375" style="1" customWidth="1"/>
    <col min="13320" max="13320" width="5.77734375" style="1" customWidth="1"/>
    <col min="13321" max="13568" width="8.88671875" style="1"/>
    <col min="13569" max="13569" width="10.77734375" style="1" customWidth="1"/>
    <col min="13570" max="13570" width="14.5546875" style="1" customWidth="1"/>
    <col min="13571" max="13571" width="18.77734375" style="1" customWidth="1"/>
    <col min="13572" max="13572" width="14.77734375" style="1" customWidth="1"/>
    <col min="13573" max="13573" width="21.77734375" style="1" customWidth="1"/>
    <col min="13574" max="13574" width="4.77734375" style="1" customWidth="1"/>
    <col min="13575" max="13575" width="6.77734375" style="1" customWidth="1"/>
    <col min="13576" max="13576" width="5.77734375" style="1" customWidth="1"/>
    <col min="13577" max="13824" width="8.88671875" style="1"/>
    <col min="13825" max="13825" width="10.77734375" style="1" customWidth="1"/>
    <col min="13826" max="13826" width="14.5546875" style="1" customWidth="1"/>
    <col min="13827" max="13827" width="18.77734375" style="1" customWidth="1"/>
    <col min="13828" max="13828" width="14.77734375" style="1" customWidth="1"/>
    <col min="13829" max="13829" width="21.77734375" style="1" customWidth="1"/>
    <col min="13830" max="13830" width="4.77734375" style="1" customWidth="1"/>
    <col min="13831" max="13831" width="6.77734375" style="1" customWidth="1"/>
    <col min="13832" max="13832" width="5.77734375" style="1" customWidth="1"/>
    <col min="13833" max="14080" width="8.88671875" style="1"/>
    <col min="14081" max="14081" width="10.77734375" style="1" customWidth="1"/>
    <col min="14082" max="14082" width="14.5546875" style="1" customWidth="1"/>
    <col min="14083" max="14083" width="18.77734375" style="1" customWidth="1"/>
    <col min="14084" max="14084" width="14.77734375" style="1" customWidth="1"/>
    <col min="14085" max="14085" width="21.77734375" style="1" customWidth="1"/>
    <col min="14086" max="14086" width="4.77734375" style="1" customWidth="1"/>
    <col min="14087" max="14087" width="6.77734375" style="1" customWidth="1"/>
    <col min="14088" max="14088" width="5.77734375" style="1" customWidth="1"/>
    <col min="14089" max="14336" width="8.88671875" style="1"/>
    <col min="14337" max="14337" width="10.77734375" style="1" customWidth="1"/>
    <col min="14338" max="14338" width="14.5546875" style="1" customWidth="1"/>
    <col min="14339" max="14339" width="18.77734375" style="1" customWidth="1"/>
    <col min="14340" max="14340" width="14.77734375" style="1" customWidth="1"/>
    <col min="14341" max="14341" width="21.77734375" style="1" customWidth="1"/>
    <col min="14342" max="14342" width="4.77734375" style="1" customWidth="1"/>
    <col min="14343" max="14343" width="6.77734375" style="1" customWidth="1"/>
    <col min="14344" max="14344" width="5.77734375" style="1" customWidth="1"/>
    <col min="14345" max="14592" width="8.88671875" style="1"/>
    <col min="14593" max="14593" width="10.77734375" style="1" customWidth="1"/>
    <col min="14594" max="14594" width="14.5546875" style="1" customWidth="1"/>
    <col min="14595" max="14595" width="18.77734375" style="1" customWidth="1"/>
    <col min="14596" max="14596" width="14.77734375" style="1" customWidth="1"/>
    <col min="14597" max="14597" width="21.77734375" style="1" customWidth="1"/>
    <col min="14598" max="14598" width="4.77734375" style="1" customWidth="1"/>
    <col min="14599" max="14599" width="6.77734375" style="1" customWidth="1"/>
    <col min="14600" max="14600" width="5.77734375" style="1" customWidth="1"/>
    <col min="14601" max="14848" width="8.88671875" style="1"/>
    <col min="14849" max="14849" width="10.77734375" style="1" customWidth="1"/>
    <col min="14850" max="14850" width="14.5546875" style="1" customWidth="1"/>
    <col min="14851" max="14851" width="18.77734375" style="1" customWidth="1"/>
    <col min="14852" max="14852" width="14.77734375" style="1" customWidth="1"/>
    <col min="14853" max="14853" width="21.77734375" style="1" customWidth="1"/>
    <col min="14854" max="14854" width="4.77734375" style="1" customWidth="1"/>
    <col min="14855" max="14855" width="6.77734375" style="1" customWidth="1"/>
    <col min="14856" max="14856" width="5.77734375" style="1" customWidth="1"/>
    <col min="14857" max="15104" width="8.88671875" style="1"/>
    <col min="15105" max="15105" width="10.77734375" style="1" customWidth="1"/>
    <col min="15106" max="15106" width="14.5546875" style="1" customWidth="1"/>
    <col min="15107" max="15107" width="18.77734375" style="1" customWidth="1"/>
    <col min="15108" max="15108" width="14.77734375" style="1" customWidth="1"/>
    <col min="15109" max="15109" width="21.77734375" style="1" customWidth="1"/>
    <col min="15110" max="15110" width="4.77734375" style="1" customWidth="1"/>
    <col min="15111" max="15111" width="6.77734375" style="1" customWidth="1"/>
    <col min="15112" max="15112" width="5.77734375" style="1" customWidth="1"/>
    <col min="15113" max="15360" width="8.88671875" style="1"/>
    <col min="15361" max="15361" width="10.77734375" style="1" customWidth="1"/>
    <col min="15362" max="15362" width="14.5546875" style="1" customWidth="1"/>
    <col min="15363" max="15363" width="18.77734375" style="1" customWidth="1"/>
    <col min="15364" max="15364" width="14.77734375" style="1" customWidth="1"/>
    <col min="15365" max="15365" width="21.77734375" style="1" customWidth="1"/>
    <col min="15366" max="15366" width="4.77734375" style="1" customWidth="1"/>
    <col min="15367" max="15367" width="6.77734375" style="1" customWidth="1"/>
    <col min="15368" max="15368" width="5.77734375" style="1" customWidth="1"/>
    <col min="15369" max="15616" width="8.88671875" style="1"/>
    <col min="15617" max="15617" width="10.77734375" style="1" customWidth="1"/>
    <col min="15618" max="15618" width="14.5546875" style="1" customWidth="1"/>
    <col min="15619" max="15619" width="18.77734375" style="1" customWidth="1"/>
    <col min="15620" max="15620" width="14.77734375" style="1" customWidth="1"/>
    <col min="15621" max="15621" width="21.77734375" style="1" customWidth="1"/>
    <col min="15622" max="15622" width="4.77734375" style="1" customWidth="1"/>
    <col min="15623" max="15623" width="6.77734375" style="1" customWidth="1"/>
    <col min="15624" max="15624" width="5.77734375" style="1" customWidth="1"/>
    <col min="15625" max="15872" width="8.88671875" style="1"/>
    <col min="15873" max="15873" width="10.77734375" style="1" customWidth="1"/>
    <col min="15874" max="15874" width="14.5546875" style="1" customWidth="1"/>
    <col min="15875" max="15875" width="18.77734375" style="1" customWidth="1"/>
    <col min="15876" max="15876" width="14.77734375" style="1" customWidth="1"/>
    <col min="15877" max="15877" width="21.77734375" style="1" customWidth="1"/>
    <col min="15878" max="15878" width="4.77734375" style="1" customWidth="1"/>
    <col min="15879" max="15879" width="6.77734375" style="1" customWidth="1"/>
    <col min="15880" max="15880" width="5.77734375" style="1" customWidth="1"/>
    <col min="15881" max="16128" width="8.88671875" style="1"/>
    <col min="16129" max="16129" width="10.77734375" style="1" customWidth="1"/>
    <col min="16130" max="16130" width="14.5546875" style="1" customWidth="1"/>
    <col min="16131" max="16131" width="18.77734375" style="1" customWidth="1"/>
    <col min="16132" max="16132" width="14.77734375" style="1" customWidth="1"/>
    <col min="16133" max="16133" width="21.77734375" style="1" customWidth="1"/>
    <col min="16134" max="16134" width="4.77734375" style="1" customWidth="1"/>
    <col min="16135" max="16135" width="6.77734375" style="1" customWidth="1"/>
    <col min="16136" max="16136" width="5.77734375" style="1" customWidth="1"/>
    <col min="16137" max="16384" width="8.88671875" style="1"/>
  </cols>
  <sheetData>
    <row r="1" spans="1:12" ht="30" customHeight="1" x14ac:dyDescent="0.3">
      <c r="A1" s="6" t="s">
        <v>53</v>
      </c>
      <c r="B1" s="6" t="s">
        <v>54</v>
      </c>
      <c r="C1" s="6" t="s">
        <v>55</v>
      </c>
      <c r="D1" s="6" t="s">
        <v>56</v>
      </c>
      <c r="E1" s="6" t="s">
        <v>57</v>
      </c>
      <c r="F1" s="6" t="s">
        <v>58</v>
      </c>
      <c r="G1" s="6" t="s">
        <v>97</v>
      </c>
      <c r="H1" s="6" t="s">
        <v>98</v>
      </c>
      <c r="I1" s="6" t="s">
        <v>42</v>
      </c>
      <c r="J1" s="8"/>
      <c r="K1" s="8"/>
      <c r="L1" s="8"/>
    </row>
    <row r="2" spans="1:12" x14ac:dyDescent="0.3">
      <c r="A2" s="17">
        <v>46167.429074074076</v>
      </c>
      <c r="B2" s="18" t="s">
        <v>96</v>
      </c>
      <c r="C2" s="18" t="s">
        <v>86</v>
      </c>
      <c r="D2" s="18" t="s">
        <v>51</v>
      </c>
      <c r="E2" s="18" t="s">
        <v>87</v>
      </c>
      <c r="F2" s="7">
        <v>1</v>
      </c>
      <c r="G2" s="14">
        <v>1.19</v>
      </c>
      <c r="H2" s="14">
        <v>1.19</v>
      </c>
      <c r="I2" s="12">
        <v>0.36</v>
      </c>
      <c r="J2" s="9"/>
      <c r="K2" s="9"/>
      <c r="L2" s="9"/>
    </row>
    <row r="3" spans="1:12" x14ac:dyDescent="0.3">
      <c r="A3" s="17">
        <v>46167.429097222222</v>
      </c>
      <c r="B3" s="18" t="s">
        <v>96</v>
      </c>
      <c r="C3" s="18" t="s">
        <v>88</v>
      </c>
      <c r="D3" s="18" t="s">
        <v>51</v>
      </c>
      <c r="E3" s="18" t="s">
        <v>89</v>
      </c>
      <c r="F3" s="7">
        <v>1</v>
      </c>
      <c r="G3" s="14">
        <v>0.1</v>
      </c>
      <c r="H3" s="14">
        <v>0.1</v>
      </c>
      <c r="I3" s="12">
        <v>0.03</v>
      </c>
      <c r="J3" s="9"/>
      <c r="K3" s="9"/>
      <c r="L3" s="9"/>
    </row>
    <row r="4" spans="1:12" x14ac:dyDescent="0.3">
      <c r="A4" s="17">
        <v>46167.429189814815</v>
      </c>
      <c r="B4" s="18" t="s">
        <v>96</v>
      </c>
      <c r="C4" s="18" t="s">
        <v>90</v>
      </c>
      <c r="D4" s="18" t="s">
        <v>51</v>
      </c>
      <c r="E4" s="18" t="s">
        <v>91</v>
      </c>
      <c r="F4" s="7">
        <v>1</v>
      </c>
      <c r="G4" s="14">
        <v>0.48</v>
      </c>
      <c r="H4" s="14">
        <v>0.48</v>
      </c>
      <c r="I4" s="12">
        <v>0.14000000000000001</v>
      </c>
      <c r="J4" s="9"/>
      <c r="K4" s="9"/>
      <c r="L4" s="9"/>
    </row>
    <row r="5" spans="1:12" x14ac:dyDescent="0.3">
      <c r="A5" s="17">
        <v>46167.429305555554</v>
      </c>
      <c r="B5" s="18" t="s">
        <v>96</v>
      </c>
      <c r="C5" s="18" t="s">
        <v>92</v>
      </c>
      <c r="D5" s="18" t="s">
        <v>51</v>
      </c>
      <c r="E5" s="18" t="s">
        <v>93</v>
      </c>
      <c r="F5" s="7">
        <v>1</v>
      </c>
      <c r="G5" s="14">
        <v>0.23</v>
      </c>
      <c r="H5" s="14">
        <v>0.23</v>
      </c>
      <c r="I5" s="12">
        <v>7.0000000000000007E-2</v>
      </c>
      <c r="J5" s="9"/>
      <c r="K5" s="9"/>
      <c r="L5" s="9"/>
    </row>
    <row r="6" spans="1:12" x14ac:dyDescent="0.3">
      <c r="A6" s="17">
        <v>46167.429340277777</v>
      </c>
      <c r="B6" s="18" t="s">
        <v>96</v>
      </c>
      <c r="C6" s="18" t="s">
        <v>94</v>
      </c>
      <c r="D6" s="18" t="s">
        <v>51</v>
      </c>
      <c r="E6" s="18" t="s">
        <v>95</v>
      </c>
      <c r="F6" s="7">
        <v>1</v>
      </c>
      <c r="G6" s="14">
        <v>0.57999999999999996</v>
      </c>
      <c r="H6" s="14">
        <v>0.57999999999999996</v>
      </c>
      <c r="I6" s="12">
        <v>0.17</v>
      </c>
      <c r="J6" s="9"/>
      <c r="K6" s="9"/>
      <c r="L6" s="9"/>
    </row>
  </sheetData>
  <sortState ref="A2:I6">
    <sortCondition ref="A2:A6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7" r:id="rId4" name="btn_計算與分發">
              <controlPr defaultSize="0" print="0" autoFill="0" autoPict="0" macro="[0]!派件費計算與分發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5" name="btn_清空漏斗">
              <controlPr defaultSize="0" print="0" autoFill="0" autoPict="0" macro="[0]!清空漏斗資料">
                <anchor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A452-2C88-46B6-82E0-37A1CA18E811}">
  <sheetPr codeName="工作表3"/>
  <dimension ref="A1:L7"/>
  <sheetViews>
    <sheetView workbookViewId="0">
      <pane ySplit="1" topLeftCell="A2" activePane="bottomLeft" state="frozenSplit"/>
      <selection pane="bottomLeft" activeCell="I11" sqref="I11"/>
    </sheetView>
  </sheetViews>
  <sheetFormatPr defaultRowHeight="15" x14ac:dyDescent="0.3"/>
  <cols>
    <col min="1" max="1" width="16.77734375" style="1" customWidth="1"/>
    <col min="2" max="2" width="8.77734375" style="1" customWidth="1"/>
    <col min="3" max="3" width="19.77734375" style="1" customWidth="1"/>
    <col min="4" max="4" width="18.77734375" style="1" customWidth="1"/>
    <col min="5" max="5" width="48.77734375" style="1" customWidth="1"/>
    <col min="6" max="6" width="5.77734375" style="1" customWidth="1"/>
    <col min="7" max="9" width="11.77734375" style="1" customWidth="1"/>
    <col min="10" max="16384" width="8.88671875" style="1"/>
  </cols>
  <sheetData>
    <row r="1" spans="1:12" ht="30" customHeight="1" x14ac:dyDescent="0.3">
      <c r="A1" s="16" t="s">
        <v>43</v>
      </c>
      <c r="B1" s="16" t="s">
        <v>44</v>
      </c>
      <c r="C1" s="16" t="s">
        <v>45</v>
      </c>
      <c r="D1" s="16" t="s">
        <v>46</v>
      </c>
      <c r="E1" s="16" t="s">
        <v>47</v>
      </c>
      <c r="F1" s="16" t="s">
        <v>48</v>
      </c>
      <c r="G1" s="16" t="s">
        <v>59</v>
      </c>
      <c r="H1" s="16" t="s">
        <v>60</v>
      </c>
      <c r="I1" s="16" t="s">
        <v>49</v>
      </c>
      <c r="J1" s="8"/>
      <c r="K1" s="8"/>
      <c r="L1" s="8"/>
    </row>
    <row r="2" spans="1:12" x14ac:dyDescent="0.3">
      <c r="A2" s="17">
        <v>46167.429074074076</v>
      </c>
      <c r="B2" s="18" t="s">
        <v>96</v>
      </c>
      <c r="C2" s="18" t="s">
        <v>86</v>
      </c>
      <c r="D2" s="18" t="s">
        <v>51</v>
      </c>
      <c r="E2" s="18" t="s">
        <v>87</v>
      </c>
      <c r="F2" s="7">
        <v>1</v>
      </c>
      <c r="G2" s="14">
        <v>1.19</v>
      </c>
      <c r="H2" s="14">
        <v>1.19</v>
      </c>
      <c r="I2" s="12">
        <v>0.36</v>
      </c>
      <c r="J2" s="9"/>
      <c r="K2" s="9"/>
      <c r="L2" s="9"/>
    </row>
    <row r="3" spans="1:12" x14ac:dyDescent="0.3">
      <c r="A3" s="17">
        <v>46167.429097222222</v>
      </c>
      <c r="B3" s="18" t="s">
        <v>96</v>
      </c>
      <c r="C3" s="18" t="s">
        <v>88</v>
      </c>
      <c r="D3" s="18" t="s">
        <v>51</v>
      </c>
      <c r="E3" s="18" t="s">
        <v>89</v>
      </c>
      <c r="F3" s="7">
        <v>1</v>
      </c>
      <c r="G3" s="14">
        <v>0.1</v>
      </c>
      <c r="H3" s="14">
        <v>0.1</v>
      </c>
      <c r="I3" s="12">
        <v>0.03</v>
      </c>
      <c r="J3" s="9"/>
      <c r="K3" s="9"/>
      <c r="L3" s="9"/>
    </row>
    <row r="4" spans="1:12" x14ac:dyDescent="0.3">
      <c r="A4" s="17">
        <v>46167.429189814815</v>
      </c>
      <c r="B4" s="18" t="s">
        <v>96</v>
      </c>
      <c r="C4" s="18" t="s">
        <v>90</v>
      </c>
      <c r="D4" s="18" t="s">
        <v>51</v>
      </c>
      <c r="E4" s="18" t="s">
        <v>91</v>
      </c>
      <c r="F4" s="7">
        <v>1</v>
      </c>
      <c r="G4" s="14">
        <v>0.48</v>
      </c>
      <c r="H4" s="14">
        <v>0.48</v>
      </c>
      <c r="I4" s="12">
        <v>0.14000000000000001</v>
      </c>
      <c r="J4" s="9"/>
      <c r="K4" s="9"/>
      <c r="L4" s="9"/>
    </row>
    <row r="5" spans="1:12" x14ac:dyDescent="0.3">
      <c r="A5" s="17">
        <v>46167.429305555554</v>
      </c>
      <c r="B5" s="18" t="s">
        <v>96</v>
      </c>
      <c r="C5" s="18" t="s">
        <v>92</v>
      </c>
      <c r="D5" s="18" t="s">
        <v>51</v>
      </c>
      <c r="E5" s="18" t="s">
        <v>93</v>
      </c>
      <c r="F5" s="7">
        <v>1</v>
      </c>
      <c r="G5" s="14">
        <v>0.23</v>
      </c>
      <c r="H5" s="14">
        <v>0.23</v>
      </c>
      <c r="I5" s="12">
        <v>7.0000000000000007E-2</v>
      </c>
      <c r="J5" s="9"/>
      <c r="K5" s="9"/>
      <c r="L5" s="9"/>
    </row>
    <row r="6" spans="1:12" x14ac:dyDescent="0.3">
      <c r="A6" s="17">
        <v>46167.429340277777</v>
      </c>
      <c r="B6" s="18" t="s">
        <v>96</v>
      </c>
      <c r="C6" s="18" t="s">
        <v>94</v>
      </c>
      <c r="D6" s="18" t="s">
        <v>51</v>
      </c>
      <c r="E6" s="18" t="s">
        <v>95</v>
      </c>
      <c r="F6" s="7">
        <v>1</v>
      </c>
      <c r="G6" s="14">
        <v>0.57999999999999996</v>
      </c>
      <c r="H6" s="14">
        <v>0.57999999999999996</v>
      </c>
      <c r="I6" s="12">
        <v>0.17</v>
      </c>
      <c r="J6" s="9"/>
      <c r="K6" s="9"/>
      <c r="L6" s="9"/>
    </row>
    <row r="7" spans="1:12" s="3" customFormat="1" x14ac:dyDescent="0.3">
      <c r="E7" s="4" t="s">
        <v>50</v>
      </c>
      <c r="F7" s="5">
        <f>SUM(F2:F6)</f>
        <v>5</v>
      </c>
      <c r="G7" s="15">
        <f>SUM(G2:G6)</f>
        <v>2.58</v>
      </c>
      <c r="H7" s="15">
        <f>SUM(H2:H6)</f>
        <v>2.58</v>
      </c>
      <c r="I7" s="13">
        <f>SUM(I2:I6)</f>
        <v>0.77000000000000013</v>
      </c>
      <c r="J7" s="10"/>
      <c r="K7" s="10"/>
      <c r="L7" s="10"/>
    </row>
  </sheetData>
  <sortState ref="A2:I6">
    <sortCondition ref="A2:A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87F4-1E98-44B8-8C8D-4AE030283DED}">
  <sheetPr codeName="工作表2"/>
  <dimension ref="A1:L12"/>
  <sheetViews>
    <sheetView zoomScale="85" zoomScaleNormal="85" workbookViewId="0">
      <pane ySplit="1" topLeftCell="A2" activePane="bottomLeft" state="frozenSplit"/>
      <selection pane="bottomLeft" activeCell="D23" sqref="D23"/>
    </sheetView>
  </sheetViews>
  <sheetFormatPr defaultRowHeight="15" x14ac:dyDescent="0.3"/>
  <cols>
    <col min="1" max="1" width="16.77734375" style="1" customWidth="1"/>
    <col min="2" max="2" width="8.77734375" style="1" customWidth="1"/>
    <col min="3" max="3" width="19.77734375" style="1" customWidth="1"/>
    <col min="4" max="4" width="18.77734375" style="1" customWidth="1"/>
    <col min="5" max="5" width="48.77734375" style="1" customWidth="1"/>
    <col min="6" max="6" width="5.77734375" style="1" customWidth="1"/>
    <col min="7" max="9" width="11.77734375" style="1" customWidth="1"/>
    <col min="10" max="11" width="10.77734375" style="1" customWidth="1"/>
    <col min="12" max="12" width="11.77734375" style="1" customWidth="1"/>
    <col min="13" max="16384" width="8.88671875" style="1"/>
  </cols>
  <sheetData>
    <row r="1" spans="1:12" ht="30" customHeight="1" x14ac:dyDescent="0.3">
      <c r="A1" s="16" t="s">
        <v>43</v>
      </c>
      <c r="B1" s="16" t="s">
        <v>44</v>
      </c>
      <c r="C1" s="16" t="s">
        <v>45</v>
      </c>
      <c r="D1" s="16" t="s">
        <v>46</v>
      </c>
      <c r="E1" s="16" t="s">
        <v>47</v>
      </c>
      <c r="F1" s="16" t="s">
        <v>48</v>
      </c>
      <c r="G1" s="16" t="s">
        <v>59</v>
      </c>
      <c r="H1" s="16" t="s">
        <v>60</v>
      </c>
      <c r="I1" s="16" t="s">
        <v>61</v>
      </c>
      <c r="J1" s="8"/>
      <c r="K1" s="8"/>
      <c r="L1" s="8"/>
    </row>
    <row r="2" spans="1:12" s="3" customFormat="1" x14ac:dyDescent="0.3">
      <c r="A2" s="17">
        <v>46167.379178240742</v>
      </c>
      <c r="B2" s="18" t="s">
        <v>79</v>
      </c>
      <c r="C2" s="18" t="s">
        <v>80</v>
      </c>
      <c r="D2" s="18" t="s">
        <v>51</v>
      </c>
      <c r="E2" s="18" t="s">
        <v>81</v>
      </c>
      <c r="F2" s="7">
        <v>1</v>
      </c>
      <c r="G2" s="14">
        <v>0.35</v>
      </c>
      <c r="H2" s="14">
        <v>0.35</v>
      </c>
      <c r="I2" s="12">
        <v>0.11</v>
      </c>
      <c r="J2" s="11"/>
      <c r="K2" s="11"/>
      <c r="L2" s="11"/>
    </row>
    <row r="3" spans="1:12" x14ac:dyDescent="0.3">
      <c r="A3" s="17">
        <v>46167.379259259258</v>
      </c>
      <c r="B3" s="18" t="s">
        <v>79</v>
      </c>
      <c r="C3" s="18" t="s">
        <v>82</v>
      </c>
      <c r="D3" s="18" t="s">
        <v>51</v>
      </c>
      <c r="E3" s="18" t="s">
        <v>83</v>
      </c>
      <c r="F3" s="7">
        <v>1</v>
      </c>
      <c r="G3" s="14">
        <v>0.82</v>
      </c>
      <c r="H3" s="14">
        <v>0.82</v>
      </c>
      <c r="I3" s="12">
        <v>0.25</v>
      </c>
      <c r="J3" s="9"/>
      <c r="K3" s="9"/>
      <c r="L3" s="9"/>
    </row>
    <row r="4" spans="1:12" x14ac:dyDescent="0.3">
      <c r="A4" s="17">
        <v>46167.379282407404</v>
      </c>
      <c r="B4" s="18" t="s">
        <v>79</v>
      </c>
      <c r="C4" s="18" t="s">
        <v>84</v>
      </c>
      <c r="D4" s="18" t="s">
        <v>51</v>
      </c>
      <c r="E4" s="18" t="s">
        <v>85</v>
      </c>
      <c r="F4" s="7">
        <v>1</v>
      </c>
      <c r="G4" s="14">
        <v>0.4</v>
      </c>
      <c r="H4" s="14">
        <v>0.4</v>
      </c>
      <c r="I4" s="12">
        <v>0.12</v>
      </c>
      <c r="J4" s="9"/>
      <c r="K4" s="9"/>
      <c r="L4" s="9"/>
    </row>
    <row r="5" spans="1:12" x14ac:dyDescent="0.3">
      <c r="A5" s="17">
        <v>46167.43472222222</v>
      </c>
      <c r="B5" s="18" t="s">
        <v>62</v>
      </c>
      <c r="C5" s="18" t="s">
        <v>63</v>
      </c>
      <c r="D5" s="18" t="s">
        <v>64</v>
      </c>
      <c r="E5" s="18" t="s">
        <v>65</v>
      </c>
      <c r="F5" s="7">
        <v>2</v>
      </c>
      <c r="G5" s="14">
        <v>72.900000000000006</v>
      </c>
      <c r="H5" s="14">
        <v>72.900000000000006</v>
      </c>
      <c r="I5" s="12">
        <v>21.87</v>
      </c>
      <c r="J5" s="9"/>
      <c r="K5" s="9"/>
      <c r="L5" s="9"/>
    </row>
    <row r="6" spans="1:12" x14ac:dyDescent="0.3">
      <c r="A6" s="17">
        <v>46167.434861111113</v>
      </c>
      <c r="B6" s="18" t="s">
        <v>62</v>
      </c>
      <c r="C6" s="18" t="s">
        <v>66</v>
      </c>
      <c r="D6" s="18" t="s">
        <v>64</v>
      </c>
      <c r="E6" s="18" t="s">
        <v>67</v>
      </c>
      <c r="F6" s="7">
        <v>3</v>
      </c>
      <c r="G6" s="14">
        <v>74.099999999999994</v>
      </c>
      <c r="H6" s="14">
        <v>74.099999999999994</v>
      </c>
      <c r="I6" s="12">
        <v>22.23</v>
      </c>
      <c r="J6" s="9"/>
      <c r="K6" s="9"/>
      <c r="L6" s="9"/>
    </row>
    <row r="7" spans="1:12" s="3" customFormat="1" x14ac:dyDescent="0.3">
      <c r="A7" s="17">
        <v>46167.434918981482</v>
      </c>
      <c r="B7" s="18" t="s">
        <v>62</v>
      </c>
      <c r="C7" s="18" t="s">
        <v>68</v>
      </c>
      <c r="D7" s="18" t="s">
        <v>64</v>
      </c>
      <c r="E7" s="18" t="s">
        <v>69</v>
      </c>
      <c r="F7" s="7">
        <v>3</v>
      </c>
      <c r="G7" s="14">
        <v>74.5</v>
      </c>
      <c r="H7" s="14">
        <v>74.5</v>
      </c>
      <c r="I7" s="12">
        <v>22.35</v>
      </c>
      <c r="J7" s="10"/>
      <c r="K7" s="10"/>
      <c r="L7" s="10"/>
    </row>
    <row r="8" spans="1:12" x14ac:dyDescent="0.3">
      <c r="A8" s="17">
        <v>46167.480902777781</v>
      </c>
      <c r="B8" s="18" t="s">
        <v>62</v>
      </c>
      <c r="C8" s="18" t="s">
        <v>70</v>
      </c>
      <c r="D8" s="18" t="s">
        <v>52</v>
      </c>
      <c r="E8" s="18" t="s">
        <v>71</v>
      </c>
      <c r="F8" s="7">
        <v>1</v>
      </c>
      <c r="G8" s="14">
        <v>1.8</v>
      </c>
      <c r="H8" s="14">
        <v>1.8</v>
      </c>
      <c r="I8" s="12">
        <v>0.54</v>
      </c>
      <c r="J8" s="9"/>
      <c r="K8" s="9"/>
      <c r="L8" s="9"/>
    </row>
    <row r="9" spans="1:12" x14ac:dyDescent="0.3">
      <c r="A9" s="17">
        <v>46167.565879629627</v>
      </c>
      <c r="B9" s="18" t="s">
        <v>62</v>
      </c>
      <c r="C9" s="18" t="s">
        <v>72</v>
      </c>
      <c r="D9" s="18" t="s">
        <v>52</v>
      </c>
      <c r="E9" s="18" t="s">
        <v>73</v>
      </c>
      <c r="F9" s="7">
        <v>1</v>
      </c>
      <c r="G9" s="14">
        <v>0.8</v>
      </c>
      <c r="H9" s="14">
        <v>0.8</v>
      </c>
      <c r="I9" s="12">
        <v>0.24</v>
      </c>
      <c r="J9" s="9"/>
      <c r="K9" s="9"/>
      <c r="L9" s="9"/>
    </row>
    <row r="10" spans="1:12" x14ac:dyDescent="0.3">
      <c r="A10" s="17">
        <v>46167.734733796293</v>
      </c>
      <c r="B10" s="18" t="s">
        <v>62</v>
      </c>
      <c r="C10" s="18" t="s">
        <v>75</v>
      </c>
      <c r="D10" s="18" t="s">
        <v>51</v>
      </c>
      <c r="E10" s="18" t="s">
        <v>76</v>
      </c>
      <c r="F10" s="7">
        <v>1</v>
      </c>
      <c r="G10" s="14">
        <v>2.0499999999999998</v>
      </c>
      <c r="H10" s="14">
        <v>2.0499999999999998</v>
      </c>
      <c r="I10" s="12">
        <v>0.62</v>
      </c>
      <c r="J10" s="9"/>
      <c r="K10" s="9"/>
      <c r="L10" s="9"/>
    </row>
    <row r="11" spans="1:12" x14ac:dyDescent="0.3">
      <c r="A11" s="17">
        <v>46167.754432870373</v>
      </c>
      <c r="B11" s="18" t="s">
        <v>62</v>
      </c>
      <c r="C11" s="18" t="s">
        <v>77</v>
      </c>
      <c r="D11" s="18" t="s">
        <v>51</v>
      </c>
      <c r="E11" s="18" t="s">
        <v>78</v>
      </c>
      <c r="F11" s="7">
        <v>1</v>
      </c>
      <c r="G11" s="14">
        <v>6.42</v>
      </c>
      <c r="H11" s="14">
        <v>6.42</v>
      </c>
      <c r="I11" s="12">
        <v>1.93</v>
      </c>
      <c r="J11" s="9"/>
      <c r="K11" s="9"/>
      <c r="L11" s="9"/>
    </row>
    <row r="12" spans="1:12" s="3" customFormat="1" x14ac:dyDescent="0.3">
      <c r="E12" s="4" t="s">
        <v>74</v>
      </c>
      <c r="F12" s="5">
        <f>SUM(F2:F11)</f>
        <v>15</v>
      </c>
      <c r="G12" s="15">
        <f>SUM(G2:G11)</f>
        <v>234.14000000000001</v>
      </c>
      <c r="H12" s="15">
        <f>SUM(H2:H11)</f>
        <v>234.14000000000001</v>
      </c>
      <c r="I12" s="13">
        <f>SUM(I2:I11)</f>
        <v>70.260000000000019</v>
      </c>
      <c r="J12" s="10"/>
      <c r="K12" s="10"/>
      <c r="L12" s="10"/>
    </row>
  </sheetData>
  <sortState ref="A2:I11">
    <sortCondition ref="A2:A1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人員設定</vt:lpstr>
      <vt:lpstr>漏斗</vt:lpstr>
      <vt:lpstr>郭香蘭</vt:lpstr>
      <vt:lpstr>未識別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2026-05-15T06:31:31Z</dcterms:created>
  <dcterms:modified xsi:type="dcterms:W3CDTF">2026-06-10T07:49:07Z</dcterms:modified>
</cp:coreProperties>
</file>