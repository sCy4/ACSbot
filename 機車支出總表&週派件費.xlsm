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filterPrivacy="1" codeName="ThisWorkbook" defaultThemeVersion="124226"/>
  <xr:revisionPtr revIDLastSave="0" documentId="13_ncr:1_{9CCECF50-F273-48AB-94D9-0AB13B2C0E3C}" xr6:coauthVersionLast="36" xr6:coauthVersionMax="36" xr10:uidLastSave="{00000000-0000-0000-0000-000000000000}"/>
  <bookViews>
    <workbookView xWindow="0" yWindow="0" windowWidth="19200" windowHeight="6840" tabRatio="738" xr2:uid="{00000000-000D-0000-FFFF-FFFF00000000}"/>
  </bookViews>
  <sheets>
    <sheet name="支出總表" sheetId="40" r:id="rId1"/>
    <sheet name="02" sheetId="29" r:id="rId2"/>
    <sheet name="03" sheetId="41" r:id="rId3"/>
    <sheet name="05" sheetId="30" r:id="rId4"/>
    <sheet name="07" sheetId="42" r:id="rId5"/>
    <sheet name="08" sheetId="43" r:id="rId6"/>
    <sheet name="10" sheetId="44" r:id="rId7"/>
    <sheet name="12" sheetId="45" r:id="rId8"/>
    <sheet name="13" sheetId="46" r:id="rId9"/>
    <sheet name="備用" sheetId="47" r:id="rId10"/>
    <sheet name="備用 (2)" sheetId="48" r:id="rId11"/>
  </sheets>
  <definedNames>
    <definedName name="_xlnm.Print_Area" localSheetId="0">支出總表!$A$1:$E$12</definedName>
  </definedNames>
  <calcPr calcId="179021"/>
</workbook>
</file>

<file path=xl/calcChain.xml><?xml version="1.0" encoding="utf-8"?>
<calcChain xmlns="http://schemas.openxmlformats.org/spreadsheetml/2006/main">
  <c r="D11" i="40" l="1"/>
  <c r="C11" i="40"/>
  <c r="F11" i="48"/>
  <c r="F13" i="48" s="1"/>
  <c r="E11" i="48"/>
  <c r="E13" i="48" s="1"/>
  <c r="D11" i="48"/>
  <c r="D13" i="48" s="1"/>
  <c r="C11" i="48"/>
  <c r="C13" i="48" s="1"/>
  <c r="C14" i="48" s="1"/>
  <c r="E13" i="47"/>
  <c r="F11" i="47"/>
  <c r="F13" i="47" s="1"/>
  <c r="E11" i="47"/>
  <c r="D11" i="47"/>
  <c r="D13" i="47" s="1"/>
  <c r="C11" i="47"/>
  <c r="C13" i="47" s="1"/>
  <c r="C14" i="47" s="1"/>
  <c r="C11" i="29"/>
  <c r="C14" i="30" l="1"/>
  <c r="E13" i="46"/>
  <c r="F11" i="46"/>
  <c r="F13" i="46" s="1"/>
  <c r="E11" i="46"/>
  <c r="D11" i="46"/>
  <c r="D13" i="46" s="1"/>
  <c r="C11" i="46"/>
  <c r="C13" i="46" s="1"/>
  <c r="E13" i="45"/>
  <c r="F11" i="45"/>
  <c r="F13" i="45" s="1"/>
  <c r="E11" i="45"/>
  <c r="D11" i="45"/>
  <c r="D13" i="45" s="1"/>
  <c r="C11" i="45"/>
  <c r="C13" i="45" s="1"/>
  <c r="C14" i="45" s="1"/>
  <c r="F11" i="44"/>
  <c r="F13" i="44" s="1"/>
  <c r="E11" i="44"/>
  <c r="E13" i="44" s="1"/>
  <c r="D11" i="44"/>
  <c r="D13" i="44" s="1"/>
  <c r="C11" i="44"/>
  <c r="C13" i="44" s="1"/>
  <c r="F11" i="43"/>
  <c r="F13" i="43" s="1"/>
  <c r="E11" i="43"/>
  <c r="E13" i="43" s="1"/>
  <c r="D11" i="43"/>
  <c r="D13" i="43" s="1"/>
  <c r="C11" i="43"/>
  <c r="C13" i="43" s="1"/>
  <c r="F11" i="42"/>
  <c r="F13" i="42" s="1"/>
  <c r="E11" i="42"/>
  <c r="E13" i="42" s="1"/>
  <c r="D11" i="42"/>
  <c r="D13" i="42" s="1"/>
  <c r="C11" i="42"/>
  <c r="C13" i="42" s="1"/>
  <c r="F11" i="41"/>
  <c r="F13" i="41" s="1"/>
  <c r="E11" i="41"/>
  <c r="E13" i="41" s="1"/>
  <c r="D11" i="41"/>
  <c r="D13" i="41" s="1"/>
  <c r="C11" i="41"/>
  <c r="C13" i="41" s="1"/>
  <c r="C14" i="43" l="1"/>
  <c r="C14" i="44"/>
  <c r="C14" i="42"/>
  <c r="C14" i="46"/>
  <c r="C14" i="41"/>
  <c r="D11" i="30"/>
  <c r="F11" i="30" l="1"/>
  <c r="F13" i="30" s="1"/>
  <c r="E11" i="30"/>
  <c r="E13" i="30" s="1"/>
  <c r="D13" i="30"/>
  <c r="C11" i="30"/>
  <c r="C13" i="30" s="1"/>
  <c r="F13" i="29"/>
  <c r="E11" i="29"/>
  <c r="E13" i="29"/>
  <c r="C13" i="29"/>
  <c r="D13" i="29"/>
  <c r="F11" i="29"/>
  <c r="D11" i="29"/>
  <c r="C14" i="29" l="1"/>
</calcChain>
</file>

<file path=xl/sharedStrings.xml><?xml version="1.0" encoding="utf-8"?>
<sst xmlns="http://schemas.openxmlformats.org/spreadsheetml/2006/main" count="164" uniqueCount="38">
  <si>
    <t>日期</t>
    <phoneticPr fontId="1" type="noConversion"/>
  </si>
  <si>
    <t>總件數</t>
  </si>
  <si>
    <t>已派</t>
  </si>
  <si>
    <t>重複件</t>
    <phoneticPr fontId="1" type="noConversion"/>
  </si>
  <si>
    <t>總數</t>
    <phoneticPr fontId="1" type="noConversion"/>
  </si>
  <si>
    <t>派件費</t>
    <phoneticPr fontId="1" type="noConversion"/>
  </si>
  <si>
    <t>問題件</t>
    <phoneticPr fontId="1" type="noConversion"/>
  </si>
  <si>
    <t>已派</t>
    <phoneticPr fontId="1" type="noConversion"/>
  </si>
  <si>
    <t>收件趟數</t>
    <phoneticPr fontId="1" type="noConversion"/>
  </si>
  <si>
    <t>總金額</t>
    <phoneticPr fontId="1" type="noConversion"/>
  </si>
  <si>
    <t>韻達快遞 機車司機支出總表</t>
  </si>
  <si>
    <t>人員</t>
  </si>
  <si>
    <t>地區</t>
  </si>
  <si>
    <t>件數</t>
  </si>
  <si>
    <t>派件費</t>
  </si>
  <si>
    <t>領現簽收人</t>
  </si>
  <si>
    <t>總計</t>
  </si>
  <si>
    <t>北投</t>
  </si>
  <si>
    <t>北投</t>
    <phoneticPr fontId="1" type="noConversion"/>
  </si>
  <si>
    <t>新莊</t>
  </si>
  <si>
    <t>新莊</t>
    <phoneticPr fontId="1" type="noConversion"/>
  </si>
  <si>
    <t>永和</t>
  </si>
  <si>
    <t>永和</t>
    <phoneticPr fontId="1" type="noConversion"/>
  </si>
  <si>
    <t>三蘆</t>
  </si>
  <si>
    <t>三蘆</t>
    <phoneticPr fontId="1" type="noConversion"/>
  </si>
  <si>
    <t>大安</t>
  </si>
  <si>
    <t>大安</t>
    <phoneticPr fontId="1" type="noConversion"/>
  </si>
  <si>
    <t>中山</t>
  </si>
  <si>
    <t>中山</t>
    <phoneticPr fontId="1" type="noConversion"/>
  </si>
  <si>
    <t>5 子銘</t>
    <phoneticPr fontId="1" type="noConversion"/>
  </si>
  <si>
    <t>8 阿翔</t>
    <phoneticPr fontId="1" type="noConversion"/>
  </si>
  <si>
    <t>10 紘鈞</t>
    <phoneticPr fontId="1" type="noConversion"/>
  </si>
  <si>
    <t>12 張華山</t>
    <phoneticPr fontId="1" type="noConversion"/>
  </si>
  <si>
    <t>13 阿昌</t>
    <phoneticPr fontId="1" type="noConversion"/>
  </si>
  <si>
    <t>經理簽章：</t>
  </si>
  <si>
    <t>備用</t>
    <phoneticPr fontId="1" type="noConversion"/>
  </si>
  <si>
    <t>地區</t>
    <phoneticPr fontId="1" type="noConversion"/>
  </si>
  <si>
    <t>年           月           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</si>
</sst>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"/>
    <numFmt numFmtId="177" formatCode="0_);[Red]\(0\)"/>
  </numFmts>
  <fonts count="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6"/>
      <color rgb="FF000000"/>
      <name val="新細明體"/>
      <family val="1"/>
      <charset val="136"/>
    </font>
    <font>
      <sz val="18"/>
      <color theme="1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E5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176" fontId="2" fillId="0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Border="1" applyAlignment="1">
      <alignment horizontal="center" vertical="center" wrapText="1"/>
    </xf>
    <xf numFmtId="176" fontId="2" fillId="0" borderId="2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7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5" fillId="0" borderId="0" xfId="0" applyFont="1" applyFill="1" applyBorder="1">
      <alignment vertical="center"/>
    </xf>
    <xf numFmtId="0" fontId="5" fillId="0" borderId="0" xfId="0" applyFont="1" applyFill="1" applyBorder="1" applyAlignment="1">
      <alignment vertical="center"/>
    </xf>
    <xf numFmtId="177" fontId="5" fillId="0" borderId="0" xfId="0" applyNumberFormat="1" applyFont="1" applyFill="1" applyBorder="1">
      <alignment vertical="center"/>
    </xf>
    <xf numFmtId="177" fontId="5" fillId="0" borderId="1" xfId="0" applyNumberFormat="1" applyFont="1" applyFill="1" applyBorder="1" applyAlignment="1">
      <alignment horizontal="center" vertical="center"/>
    </xf>
    <xf numFmtId="177" fontId="6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right" vertical="center"/>
    </xf>
    <xf numFmtId="0" fontId="5" fillId="0" borderId="3" xfId="0" applyFont="1" applyFill="1" applyBorder="1" applyAlignment="1">
      <alignment horizontal="left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22860</xdr:colOff>
          <xdr:row>0</xdr:row>
          <xdr:rowOff>22860</xdr:rowOff>
        </xdr:from>
        <xdr:to>
          <xdr:col>5</xdr:col>
          <xdr:colOff>1257300</xdr:colOff>
          <xdr:row>0</xdr:row>
          <xdr:rowOff>480060</xdr:rowOff>
        </xdr:to>
        <xdr:sp macro="" textlink="">
          <xdr:nvSpPr>
            <xdr:cNvPr id="2053" name="btn錄入資料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錄入資料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BD528-5589-46CE-BC77-440AC028A713}">
  <sheetPr codeName="工作表1">
    <pageSetUpPr fitToPage="1"/>
  </sheetPr>
  <dimension ref="A1:H15"/>
  <sheetViews>
    <sheetView tabSelected="1" showRuler="0" zoomScale="70" zoomScaleNormal="70" zoomScaleSheetLayoutView="70" zoomScalePageLayoutView="40" workbookViewId="0">
      <selection activeCell="C13" sqref="C13"/>
    </sheetView>
  </sheetViews>
  <sheetFormatPr defaultRowHeight="30" customHeight="1" x14ac:dyDescent="0.3"/>
  <cols>
    <col min="1" max="6" width="18.77734375" style="20" customWidth="1"/>
    <col min="7" max="16384" width="8.88671875" style="20"/>
  </cols>
  <sheetData>
    <row r="1" spans="1:8" ht="40.049999999999997" customHeight="1" x14ac:dyDescent="0.3">
      <c r="A1" s="38" t="s">
        <v>10</v>
      </c>
      <c r="B1" s="18"/>
      <c r="D1" s="18"/>
      <c r="E1" s="39" t="s">
        <v>37</v>
      </c>
    </row>
    <row r="2" spans="1:8" ht="40.049999999999997" customHeight="1" x14ac:dyDescent="0.3">
      <c r="A2" s="15" t="s">
        <v>11</v>
      </c>
      <c r="B2" s="15" t="s">
        <v>12</v>
      </c>
      <c r="C2" s="15" t="s">
        <v>13</v>
      </c>
      <c r="D2" s="15" t="s">
        <v>14</v>
      </c>
      <c r="E2" s="15" t="s">
        <v>15</v>
      </c>
    </row>
    <row r="3" spans="1:8" ht="40.049999999999997" customHeight="1" x14ac:dyDescent="0.3">
      <c r="A3" s="15">
        <v>2</v>
      </c>
      <c r="B3" s="15" t="s">
        <v>19</v>
      </c>
      <c r="C3" s="24">
        <v>0</v>
      </c>
      <c r="D3" s="24">
        <v>0</v>
      </c>
      <c r="E3" s="15"/>
    </row>
    <row r="4" spans="1:8" ht="40.049999999999997" customHeight="1" x14ac:dyDescent="0.3">
      <c r="A4" s="15">
        <v>3</v>
      </c>
      <c r="B4" s="15" t="s">
        <v>21</v>
      </c>
      <c r="C4" s="24">
        <v>0</v>
      </c>
      <c r="D4" s="24">
        <v>0</v>
      </c>
      <c r="E4" s="15"/>
      <c r="F4" s="29"/>
    </row>
    <row r="5" spans="1:8" ht="40.049999999999997" customHeight="1" x14ac:dyDescent="0.3">
      <c r="A5" s="15">
        <v>5</v>
      </c>
      <c r="B5" s="15" t="s">
        <v>17</v>
      </c>
      <c r="C5" s="24">
        <v>0</v>
      </c>
      <c r="D5" s="24">
        <v>0</v>
      </c>
      <c r="E5" s="15"/>
      <c r="G5" s="27"/>
      <c r="H5" s="27"/>
    </row>
    <row r="6" spans="1:8" ht="40.049999999999997" customHeight="1" x14ac:dyDescent="0.3">
      <c r="A6" s="15">
        <v>7</v>
      </c>
      <c r="B6" s="15" t="s">
        <v>21</v>
      </c>
      <c r="C6" s="24">
        <v>0</v>
      </c>
      <c r="D6" s="24">
        <v>0</v>
      </c>
      <c r="E6" s="15"/>
    </row>
    <row r="7" spans="1:8" ht="40.049999999999997" customHeight="1" x14ac:dyDescent="0.3">
      <c r="A7" s="15">
        <v>8</v>
      </c>
      <c r="B7" s="15" t="s">
        <v>23</v>
      </c>
      <c r="C7" s="24">
        <v>0</v>
      </c>
      <c r="D7" s="24">
        <v>0</v>
      </c>
      <c r="E7" s="15"/>
    </row>
    <row r="8" spans="1:8" ht="40.049999999999997" customHeight="1" x14ac:dyDescent="0.3">
      <c r="A8" s="15">
        <v>10</v>
      </c>
      <c r="B8" s="15" t="s">
        <v>25</v>
      </c>
      <c r="C8" s="24">
        <v>0</v>
      </c>
      <c r="D8" s="24">
        <v>0</v>
      </c>
      <c r="E8" s="15"/>
    </row>
    <row r="9" spans="1:8" ht="40.049999999999997" customHeight="1" x14ac:dyDescent="0.3">
      <c r="A9" s="15">
        <v>12</v>
      </c>
      <c r="B9" s="15" t="s">
        <v>27</v>
      </c>
      <c r="C9" s="24">
        <v>0</v>
      </c>
      <c r="D9" s="15">
        <v>0</v>
      </c>
      <c r="E9" s="15"/>
    </row>
    <row r="10" spans="1:8" ht="40.049999999999997" customHeight="1" x14ac:dyDescent="0.3">
      <c r="A10" s="15">
        <v>13</v>
      </c>
      <c r="B10" s="15" t="s">
        <v>19</v>
      </c>
      <c r="C10" s="24">
        <v>0</v>
      </c>
      <c r="D10" s="24">
        <v>0</v>
      </c>
      <c r="E10" s="15"/>
    </row>
    <row r="11" spans="1:8" ht="40.049999999999997" customHeight="1" x14ac:dyDescent="0.3">
      <c r="A11" s="26" t="s">
        <v>16</v>
      </c>
      <c r="B11" s="26"/>
      <c r="C11" s="25">
        <f>SUM(C3:C10)</f>
        <v>0</v>
      </c>
      <c r="D11" s="25">
        <f>SUM(D3:D10)</f>
        <v>0</v>
      </c>
      <c r="E11" s="26"/>
    </row>
    <row r="12" spans="1:8" ht="40.049999999999997" customHeight="1" x14ac:dyDescent="0.4">
      <c r="B12" s="40" t="s">
        <v>34</v>
      </c>
      <c r="C12" s="17"/>
      <c r="D12" s="17"/>
      <c r="E12" s="18"/>
    </row>
    <row r="13" spans="1:8" ht="40.049999999999997" customHeight="1" x14ac:dyDescent="0.3">
      <c r="A13" s="17"/>
      <c r="B13" s="17"/>
      <c r="C13" s="17"/>
      <c r="D13" s="17"/>
      <c r="E13" s="18"/>
    </row>
    <row r="14" spans="1:8" ht="40.049999999999997" customHeight="1" x14ac:dyDescent="0.3">
      <c r="A14" s="21"/>
      <c r="B14" s="21"/>
      <c r="C14" s="23"/>
      <c r="D14" s="23"/>
      <c r="E14" s="21"/>
    </row>
    <row r="15" spans="1:8" ht="30" customHeight="1" x14ac:dyDescent="0.3">
      <c r="A15" s="22"/>
      <c r="B15" s="22"/>
      <c r="C15" s="19"/>
      <c r="D15" s="19"/>
      <c r="E15" s="19"/>
    </row>
  </sheetData>
  <phoneticPr fontId="1" type="noConversion"/>
  <pageMargins left="0.43307086614173229" right="0.23622047244094491" top="0.74803149606299213" bottom="0.74803149606299213" header="0.31496062992125984" footer="0.31496062992125984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tn錄入資料">
              <controlPr defaultSize="0" print="0" autoFill="0" autoPict="0" macro="[0]!建立支出總表">
                <anchor>
                  <from>
                    <xdr:col>5</xdr:col>
                    <xdr:colOff>22860</xdr:colOff>
                    <xdr:row>0</xdr:row>
                    <xdr:rowOff>22860</xdr:rowOff>
                  </from>
                  <to>
                    <xdr:col>5</xdr:col>
                    <xdr:colOff>1257300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A85E9-0790-4243-AA99-71690249389A}">
  <sheetPr codeName="工作表3"/>
  <dimension ref="A1:F14"/>
  <sheetViews>
    <sheetView zoomScale="70" zoomScaleNormal="70" workbookViewId="0">
      <selection activeCell="I7" sqref="I7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4">
        <v>2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5"/>
      <c r="B11" s="12" t="s">
        <v>4</v>
      </c>
      <c r="C11" s="9">
        <f>SUM(C2:C8)</f>
        <v>0</v>
      </c>
      <c r="D11" s="9">
        <f>SUM(D2:D8)</f>
        <v>0</v>
      </c>
      <c r="E11" s="9">
        <f>SUM(E2:E8)</f>
        <v>0</v>
      </c>
      <c r="F11" s="9">
        <f>SUM(F2:F8)</f>
        <v>0</v>
      </c>
    </row>
    <row r="12" spans="1:6" ht="27" customHeight="1" x14ac:dyDescent="0.3">
      <c r="A12" s="36"/>
      <c r="B12" s="13" t="s">
        <v>5</v>
      </c>
      <c r="C12" s="10">
        <v>40</v>
      </c>
      <c r="D12" s="10">
        <v>0</v>
      </c>
      <c r="E12" s="10">
        <v>40</v>
      </c>
      <c r="F12" s="10">
        <v>15</v>
      </c>
    </row>
    <row r="13" spans="1:6" ht="27" customHeight="1" x14ac:dyDescent="0.3">
      <c r="A13" s="34" t="s">
        <v>20</v>
      </c>
      <c r="B13" s="30" t="s">
        <v>9</v>
      </c>
      <c r="C13" s="9">
        <f>C11*C12</f>
        <v>0</v>
      </c>
      <c r="D13" s="9">
        <f>D11*D12</f>
        <v>0</v>
      </c>
      <c r="E13" s="9">
        <f>MIN(E11, 2)*E12</f>
        <v>0</v>
      </c>
      <c r="F13" s="9">
        <f>F11*F12</f>
        <v>0</v>
      </c>
    </row>
    <row r="14" spans="1:6" ht="27" customHeight="1" x14ac:dyDescent="0.3">
      <c r="A14" s="36"/>
      <c r="B14" s="30"/>
      <c r="C14" s="31">
        <f>SUM(C13:F13)</f>
        <v>0</v>
      </c>
      <c r="D14" s="32"/>
      <c r="E14" s="32"/>
      <c r="F14" s="33"/>
    </row>
  </sheetData>
  <mergeCells count="4">
    <mergeCell ref="B13:B14"/>
    <mergeCell ref="C14:F14"/>
    <mergeCell ref="A10:A12"/>
    <mergeCell ref="A13:A1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7AC67-B03B-40A1-899E-6C1E5693B6F5}">
  <sheetPr codeName="工作表12"/>
  <dimension ref="A1:F14"/>
  <sheetViews>
    <sheetView zoomScale="70" zoomScaleNormal="70" workbookViewId="0">
      <selection activeCell="A10" sqref="A10:A12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>
        <v>3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7"/>
      <c r="B12" s="13" t="s">
        <v>5</v>
      </c>
      <c r="C12" s="10">
        <v>40</v>
      </c>
      <c r="D12" s="10">
        <v>40</v>
      </c>
      <c r="E12" s="10">
        <v>40</v>
      </c>
      <c r="F12" s="10">
        <v>15</v>
      </c>
    </row>
    <row r="13" spans="1:6" ht="27" customHeight="1" x14ac:dyDescent="0.3">
      <c r="A13" s="37" t="s">
        <v>22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69DF0-86B1-497B-9F8F-45E08ABC48ED}">
  <sheetPr codeName="工作表4"/>
  <dimension ref="A1:F14"/>
  <sheetViews>
    <sheetView zoomScale="70" zoomScaleNormal="70" workbookViewId="0">
      <selection activeCell="J8" sqref="J8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 t="s">
        <v>29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7"/>
      <c r="B12" s="13" t="s">
        <v>5</v>
      </c>
      <c r="C12" s="10">
        <v>40</v>
      </c>
      <c r="D12" s="10">
        <v>40</v>
      </c>
      <c r="E12" s="10">
        <v>40</v>
      </c>
      <c r="F12" s="10">
        <v>15</v>
      </c>
    </row>
    <row r="13" spans="1:6" ht="27" customHeight="1" x14ac:dyDescent="0.3">
      <c r="A13" s="37" t="s">
        <v>18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B13:B14"/>
    <mergeCell ref="C14:F14"/>
    <mergeCell ref="A10:A12"/>
    <mergeCell ref="A13:A14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DFF17-F9A0-45DE-BB74-632A4BD0A885}">
  <sheetPr codeName="工作表5"/>
  <dimension ref="A1:F14"/>
  <sheetViews>
    <sheetView zoomScale="70" zoomScaleNormal="70" workbookViewId="0">
      <selection activeCell="I11" sqref="I11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4">
        <v>7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5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6"/>
      <c r="B12" s="13" t="s">
        <v>5</v>
      </c>
      <c r="C12" s="10">
        <v>40</v>
      </c>
      <c r="D12" s="10">
        <v>0</v>
      </c>
      <c r="E12" s="10">
        <v>40</v>
      </c>
      <c r="F12" s="10">
        <v>15</v>
      </c>
    </row>
    <row r="13" spans="1:6" ht="27" customHeight="1" x14ac:dyDescent="0.3">
      <c r="A13" s="34" t="s">
        <v>22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6"/>
      <c r="B14" s="30"/>
      <c r="C14" s="31">
        <f>SUM(C13:F13)</f>
        <v>0</v>
      </c>
      <c r="D14" s="32"/>
      <c r="E14" s="32"/>
      <c r="F14" s="33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1C5E4-023A-4D8D-934E-17E991E18F5B}">
  <sheetPr codeName="工作表13"/>
  <dimension ref="A1:F14"/>
  <sheetViews>
    <sheetView zoomScale="70" zoomScaleNormal="70" workbookViewId="0">
      <selection activeCell="A10" sqref="A10:A12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 t="s">
        <v>30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7"/>
      <c r="B12" s="13" t="s">
        <v>5</v>
      </c>
      <c r="C12" s="10">
        <v>28</v>
      </c>
      <c r="D12" s="10">
        <v>0</v>
      </c>
      <c r="E12" s="10">
        <v>28</v>
      </c>
      <c r="F12" s="10">
        <v>15</v>
      </c>
    </row>
    <row r="13" spans="1:6" ht="27" customHeight="1" x14ac:dyDescent="0.3">
      <c r="A13" s="37" t="s">
        <v>24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C7145-2DE3-407A-AC27-5704E73B69C9}">
  <sheetPr codeName="工作表6"/>
  <dimension ref="A1:F14"/>
  <sheetViews>
    <sheetView zoomScale="70" zoomScaleNormal="70" workbookViewId="0">
      <selection activeCell="C12" sqref="C12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 t="s">
        <v>31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7"/>
      <c r="B12" s="13" t="s">
        <v>5</v>
      </c>
      <c r="C12" s="10">
        <v>40</v>
      </c>
      <c r="D12" s="10">
        <v>40</v>
      </c>
      <c r="E12" s="10">
        <v>40</v>
      </c>
      <c r="F12" s="10">
        <v>15</v>
      </c>
    </row>
    <row r="13" spans="1:6" ht="27" customHeight="1" x14ac:dyDescent="0.3">
      <c r="A13" s="37" t="s">
        <v>26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05B2F-CD25-4AE4-A252-19655893F537}">
  <sheetPr codeName="工作表7"/>
  <dimension ref="A1:F14"/>
  <sheetViews>
    <sheetView zoomScale="70" zoomScaleNormal="70" workbookViewId="0">
      <selection activeCell="I9" sqref="I9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4" t="s">
        <v>32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5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6"/>
      <c r="B12" s="13" t="s">
        <v>5</v>
      </c>
      <c r="C12" s="10">
        <v>40</v>
      </c>
      <c r="D12" s="10">
        <v>0</v>
      </c>
      <c r="E12" s="10">
        <v>40</v>
      </c>
      <c r="F12" s="10">
        <v>15</v>
      </c>
    </row>
    <row r="13" spans="1:6" ht="27" customHeight="1" x14ac:dyDescent="0.3">
      <c r="A13" s="34" t="s">
        <v>28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6"/>
      <c r="B14" s="30"/>
      <c r="C14" s="31">
        <f>SUM(C13:F13)</f>
        <v>0</v>
      </c>
      <c r="D14" s="32"/>
      <c r="E14" s="32"/>
      <c r="F14" s="33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7BCAE-4E9F-4716-8A5D-7DD3445D88B5}">
  <sheetPr codeName="工作表14"/>
  <dimension ref="A1:F14"/>
  <sheetViews>
    <sheetView zoomScale="70" zoomScaleNormal="70" workbookViewId="0">
      <selection activeCell="B18" sqref="B18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 t="s">
        <v>33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4">
        <f>SUM(C2:C8)</f>
        <v>0</v>
      </c>
      <c r="D11" s="14">
        <f>SUM(D2:D8)</f>
        <v>0</v>
      </c>
      <c r="E11" s="14">
        <f>SUM(E2:E8)</f>
        <v>0</v>
      </c>
      <c r="F11" s="14">
        <f>SUM(F2:F8)</f>
        <v>0</v>
      </c>
    </row>
    <row r="12" spans="1:6" ht="27" customHeight="1" x14ac:dyDescent="0.3">
      <c r="A12" s="37"/>
      <c r="B12" s="13" t="s">
        <v>5</v>
      </c>
      <c r="C12" s="10">
        <v>40</v>
      </c>
      <c r="D12" s="10">
        <v>0</v>
      </c>
      <c r="E12" s="10">
        <v>40</v>
      </c>
      <c r="F12" s="10">
        <v>15</v>
      </c>
    </row>
    <row r="13" spans="1:6" ht="27" customHeight="1" x14ac:dyDescent="0.3">
      <c r="A13" s="37" t="s">
        <v>20</v>
      </c>
      <c r="B13" s="30" t="s">
        <v>9</v>
      </c>
      <c r="C13" s="14">
        <f>C11*C12</f>
        <v>0</v>
      </c>
      <c r="D13" s="14">
        <f>D11*D12</f>
        <v>0</v>
      </c>
      <c r="E13" s="14">
        <f>MIN(E11, 2)*E12</f>
        <v>0</v>
      </c>
      <c r="F13" s="14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B09B6-80C3-4FE8-BBD7-D2433F3AA28A}">
  <sheetPr codeName="工作表15"/>
  <dimension ref="A1:F14"/>
  <sheetViews>
    <sheetView zoomScale="70" zoomScaleNormal="70" workbookViewId="0">
      <selection activeCell="I15" sqref="I15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 t="s">
        <v>35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6">
        <f>SUM(C2:C8)</f>
        <v>0</v>
      </c>
      <c r="D11" s="16">
        <f>SUM(D2:D8)</f>
        <v>0</v>
      </c>
      <c r="E11" s="16">
        <f>SUM(E2:E8)</f>
        <v>0</v>
      </c>
      <c r="F11" s="16">
        <f>SUM(F2:F8)</f>
        <v>0</v>
      </c>
    </row>
    <row r="12" spans="1:6" ht="27" customHeight="1" x14ac:dyDescent="0.3">
      <c r="A12" s="37"/>
      <c r="B12" s="13" t="s">
        <v>5</v>
      </c>
      <c r="C12" s="10">
        <v>40</v>
      </c>
      <c r="D12" s="10">
        <v>0</v>
      </c>
      <c r="E12" s="10">
        <v>40</v>
      </c>
      <c r="F12" s="10">
        <v>15</v>
      </c>
    </row>
    <row r="13" spans="1:6" ht="27" customHeight="1" x14ac:dyDescent="0.3">
      <c r="A13" s="37" t="s">
        <v>36</v>
      </c>
      <c r="B13" s="30" t="s">
        <v>9</v>
      </c>
      <c r="C13" s="16">
        <f>C11*C12</f>
        <v>0</v>
      </c>
      <c r="D13" s="16">
        <f>D11*D12</f>
        <v>0</v>
      </c>
      <c r="E13" s="16">
        <f>MIN(E11, 2)*E12</f>
        <v>0</v>
      </c>
      <c r="F13" s="16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0CD85-861A-4929-B0FA-46A1986011AC}">
  <sheetPr codeName="工作表16"/>
  <dimension ref="A1:F14"/>
  <sheetViews>
    <sheetView zoomScale="70" zoomScaleNormal="70" workbookViewId="0">
      <selection activeCell="I16" sqref="I16"/>
    </sheetView>
  </sheetViews>
  <sheetFormatPr defaultRowHeight="19.8" x14ac:dyDescent="0.3"/>
  <cols>
    <col min="1" max="5" width="12.77734375" style="5" customWidth="1"/>
    <col min="6" max="6" width="14.77734375" style="5" customWidth="1"/>
    <col min="7" max="16384" width="8.88671875" style="5"/>
  </cols>
  <sheetData>
    <row r="1" spans="1:6" ht="27" customHeight="1" x14ac:dyDescent="0.3">
      <c r="A1" s="4" t="s">
        <v>0</v>
      </c>
      <c r="B1" s="4" t="s">
        <v>1</v>
      </c>
      <c r="C1" s="4" t="s">
        <v>2</v>
      </c>
      <c r="D1" s="4" t="s">
        <v>6</v>
      </c>
      <c r="E1" s="4" t="s">
        <v>3</v>
      </c>
      <c r="F1" s="4" t="s">
        <v>8</v>
      </c>
    </row>
    <row r="2" spans="1:6" ht="27" customHeight="1" x14ac:dyDescent="0.3">
      <c r="A2" s="1">
        <v>46146</v>
      </c>
      <c r="B2" s="6"/>
      <c r="C2" s="6"/>
      <c r="D2" s="6"/>
      <c r="E2" s="6"/>
      <c r="F2" s="6"/>
    </row>
    <row r="3" spans="1:6" ht="27" customHeight="1" x14ac:dyDescent="0.3">
      <c r="A3" s="1">
        <v>46147</v>
      </c>
      <c r="B3" s="6"/>
      <c r="C3" s="6"/>
      <c r="D3" s="6"/>
      <c r="E3" s="6"/>
      <c r="F3" s="6"/>
    </row>
    <row r="4" spans="1:6" ht="27" customHeight="1" x14ac:dyDescent="0.3">
      <c r="A4" s="1">
        <v>46148</v>
      </c>
      <c r="B4" s="6"/>
      <c r="C4" s="6"/>
      <c r="D4" s="6"/>
      <c r="E4" s="6"/>
      <c r="F4" s="6"/>
    </row>
    <row r="5" spans="1:6" ht="27" customHeight="1" x14ac:dyDescent="0.3">
      <c r="A5" s="1">
        <v>46149</v>
      </c>
      <c r="B5" s="6"/>
      <c r="C5" s="6"/>
      <c r="D5" s="6"/>
      <c r="E5" s="6"/>
      <c r="F5" s="6"/>
    </row>
    <row r="6" spans="1:6" ht="27" customHeight="1" x14ac:dyDescent="0.3">
      <c r="A6" s="1">
        <v>46150</v>
      </c>
      <c r="B6" s="6"/>
      <c r="C6" s="6"/>
      <c r="D6" s="6"/>
      <c r="E6" s="6"/>
      <c r="F6" s="6"/>
    </row>
    <row r="7" spans="1:6" ht="27" customHeight="1" x14ac:dyDescent="0.3">
      <c r="A7" s="2">
        <v>46151</v>
      </c>
      <c r="B7" s="6"/>
      <c r="C7" s="6"/>
      <c r="D7" s="6"/>
      <c r="E7" s="6"/>
      <c r="F7" s="6"/>
    </row>
    <row r="8" spans="1:6" ht="27" customHeight="1" x14ac:dyDescent="0.3">
      <c r="A8" s="3">
        <v>46152</v>
      </c>
      <c r="B8" s="7"/>
      <c r="C8" s="7"/>
      <c r="D8" s="7"/>
      <c r="E8" s="7"/>
      <c r="F8" s="7"/>
    </row>
    <row r="9" spans="1:6" ht="27" customHeight="1" x14ac:dyDescent="0.3">
      <c r="A9" s="8"/>
      <c r="B9" s="8"/>
      <c r="C9" s="8"/>
      <c r="D9" s="8"/>
      <c r="E9" s="8"/>
      <c r="F9" s="8"/>
    </row>
    <row r="10" spans="1:6" ht="27" customHeight="1" x14ac:dyDescent="0.3">
      <c r="A10" s="37" t="s">
        <v>35</v>
      </c>
      <c r="B10" s="28"/>
      <c r="C10" s="11" t="s">
        <v>7</v>
      </c>
      <c r="D10" s="11" t="s">
        <v>6</v>
      </c>
      <c r="E10" s="11" t="s">
        <v>3</v>
      </c>
      <c r="F10" s="11" t="s">
        <v>8</v>
      </c>
    </row>
    <row r="11" spans="1:6" ht="27" customHeight="1" x14ac:dyDescent="0.3">
      <c r="A11" s="37"/>
      <c r="B11" s="12" t="s">
        <v>4</v>
      </c>
      <c r="C11" s="16">
        <f>SUM(C2:C8)</f>
        <v>0</v>
      </c>
      <c r="D11" s="16">
        <f>SUM(D2:D8)</f>
        <v>0</v>
      </c>
      <c r="E11" s="16">
        <f>SUM(E2:E8)</f>
        <v>0</v>
      </c>
      <c r="F11" s="16">
        <f>SUM(F2:F8)</f>
        <v>0</v>
      </c>
    </row>
    <row r="12" spans="1:6" ht="27" customHeight="1" x14ac:dyDescent="0.3">
      <c r="A12" s="37"/>
      <c r="B12" s="13" t="s">
        <v>5</v>
      </c>
      <c r="C12" s="10">
        <v>40</v>
      </c>
      <c r="D12" s="10">
        <v>0</v>
      </c>
      <c r="E12" s="10">
        <v>40</v>
      </c>
      <c r="F12" s="10">
        <v>15</v>
      </c>
    </row>
    <row r="13" spans="1:6" ht="27" customHeight="1" x14ac:dyDescent="0.3">
      <c r="A13" s="37" t="s">
        <v>36</v>
      </c>
      <c r="B13" s="30" t="s">
        <v>9</v>
      </c>
      <c r="C13" s="16">
        <f>C11*C12</f>
        <v>0</v>
      </c>
      <c r="D13" s="16">
        <f>D11*D12</f>
        <v>0</v>
      </c>
      <c r="E13" s="16">
        <f>MIN(E11, 2)*E12</f>
        <v>0</v>
      </c>
      <c r="F13" s="16">
        <f>F11*F12</f>
        <v>0</v>
      </c>
    </row>
    <row r="14" spans="1:6" ht="27" customHeight="1" x14ac:dyDescent="0.3">
      <c r="A14" s="37"/>
      <c r="B14" s="30"/>
      <c r="C14" s="37">
        <f>SUM(C13:F13)</f>
        <v>0</v>
      </c>
      <c r="D14" s="37"/>
      <c r="E14" s="37"/>
      <c r="F14" s="37"/>
    </row>
  </sheetData>
  <mergeCells count="4">
    <mergeCell ref="A10:A12"/>
    <mergeCell ref="A13:A14"/>
    <mergeCell ref="B13:B14"/>
    <mergeCell ref="C14:F1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具名範圍</vt:lpstr>
      </vt:variant>
      <vt:variant>
        <vt:i4>1</vt:i4>
      </vt:variant>
    </vt:vector>
  </HeadingPairs>
  <TitlesOfParts>
    <vt:vector size="12" baseType="lpstr">
      <vt:lpstr>支出總表</vt:lpstr>
      <vt:lpstr>02</vt:lpstr>
      <vt:lpstr>03</vt:lpstr>
      <vt:lpstr>05</vt:lpstr>
      <vt:lpstr>07</vt:lpstr>
      <vt:lpstr>08</vt:lpstr>
      <vt:lpstr>10</vt:lpstr>
      <vt:lpstr>12</vt:lpstr>
      <vt:lpstr>13</vt:lpstr>
      <vt:lpstr>備用</vt:lpstr>
      <vt:lpstr>備用 (2)</vt:lpstr>
      <vt:lpstr>支出總表!Print_Area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2026-06-01T08:21:01Z</dcterms:modified>
</cp:coreProperties>
</file>